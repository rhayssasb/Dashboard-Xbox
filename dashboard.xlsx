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5A671B0F766F44/etl_excel_powerquery/"/>
    </mc:Choice>
  </mc:AlternateContent>
  <xr:revisionPtr revIDLastSave="362" documentId="8_{2C89E477-3D64-4697-B068-386F1F1E37B7}" xr6:coauthVersionLast="47" xr6:coauthVersionMax="47" xr10:uidLastSave="{0A30D66E-27BB-47A7-A44E-33361805048E}"/>
  <bookViews>
    <workbookView xWindow="-108" yWindow="-108" windowWidth="23256" windowHeight="12456" firstSheet="4" activeTab="4" xr2:uid="{28DD5B76-0634-4F87-BE60-8BFA7EF2E23B}"/>
  </bookViews>
  <sheets>
    <sheet name="A̳ssets" sheetId="1" state="hidden" r:id="rId1"/>
    <sheet name="Planilha1" sheetId="5" state="hidden" r:id="rId2"/>
    <sheet name="B̳ases" sheetId="2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F22" i="5"/>
</calcChain>
</file>

<file path=xl/sharedStrings.xml><?xml version="1.0" encoding="utf-8"?>
<sst xmlns="http://schemas.openxmlformats.org/spreadsheetml/2006/main" count="2013" uniqueCount="322">
  <si>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</si>
  <si>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</si>
  <si>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</si>
  <si>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</si>
  <si>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</si>
  <si>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</si>
  <si>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</si>
  <si>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</si>
  <si>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</si>
  <si>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</si>
  <si>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</si>
  <si>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</si>
  <si>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</si>
  <si>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</si>
  <si>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</si>
  <si>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</si>
  <si>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</si>
  <si>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</si>
  <si>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</si>
  <si>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</si>
  <si>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</si>
  <si>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</si>
  <si>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</si>
  <si>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</si>
  <si>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</si>
  <si>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</si>
  <si>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</si>
  <si>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</si>
  <si>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</si>
  <si>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</si>
  <si>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</si>
  <si>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</si>
  <si>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</si>
  <si>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</si>
  <si>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</si>
  <si>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</si>
  <si>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</si>
  <si>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</si>
  <si>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</si>
  <si>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</si>
  <si>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</si>
  <si>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</si>
  <si>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</si>
  <si>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</si>
  <si>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</si>
  <si>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</si>
  <si>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</si>
  <si>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</si>
  <si>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</si>
  <si>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</si>
  <si>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</si>
  <si>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</si>
  <si>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</si>
  <si>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</si>
  <si>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</si>
  <si>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</si>
  <si>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</si>
  <si>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</si>
  <si>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</si>
  <si>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</si>
  <si>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</si>
  <si>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</si>
  <si>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</si>
  <si>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</si>
  <si>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</si>
  <si>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</si>
  <si>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</si>
  <si>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</si>
  <si>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</si>
  <si>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</si>
  <si>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</si>
  <si>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</si>
  <si>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</si>
  <si>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</si>
  <si>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</si>
  <si>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</si>
  <si>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</si>
  <si>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</si>
  <si>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</si>
  <si>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</si>
  <si>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</si>
  <si>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</si>
  <si>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</si>
  <si>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</si>
  <si>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</si>
  <si>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</si>
  <si>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</si>
  <si>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</si>
  <si>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</si>
  <si>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</si>
  <si>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</si>
  <si>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</si>
  <si>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</si>
  <si>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</si>
  <si>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</si>
  <si>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</si>
  <si>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</si>
  <si>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</si>
  <si>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</si>
  <si>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</si>
  <si>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</si>
  <si>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</si>
  <si>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</si>
  <si>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</si>
  <si>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</si>
  <si>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</si>
  <si>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</si>
  <si>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</si>
  <si>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</si>
  <si>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</si>
  <si>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</si>
  <si>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</si>
  <si>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</si>
  <si>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</si>
  <si>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</si>
  <si>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</si>
  <si>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</si>
  <si>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</si>
  <si>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</si>
  <si>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</si>
  <si>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</si>
  <si>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</si>
  <si>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</si>
  <si>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</si>
  <si>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</si>
  <si>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</si>
  <si>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</si>
  <si>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</si>
  <si>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</si>
  <si>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</si>
  <si>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</si>
  <si>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</si>
  <si>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</si>
  <si>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</si>
  <si>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</si>
  <si>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</si>
  <si>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</si>
  <si>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</si>
  <si>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</si>
  <si>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</si>
  <si>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</si>
  <si>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</si>
  <si>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</si>
  <si>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</si>
  <si>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</si>
  <si>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</si>
  <si>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</si>
  <si>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</si>
  <si>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</si>
  <si>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</si>
  <si>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</si>
  <si>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</si>
  <si>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</si>
  <si>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</si>
  <si>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</si>
  <si>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</si>
  <si>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</si>
  <si>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</si>
  <si>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</si>
  <si>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</si>
  <si>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</si>
  <si>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</si>
  <si>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</si>
  <si>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</si>
  <si>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</si>
  <si>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</si>
  <si>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</si>
  <si>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</si>
  <si>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</si>
  <si>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</si>
  <si>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</si>
  <si>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</si>
  <si>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</si>
  <si>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</si>
  <si>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</si>
  <si>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</si>
  <si>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</si>
  <si>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</si>
  <si>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</si>
  <si>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</si>
  <si>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</si>
  <si>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</si>
  <si>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</si>
  <si>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</si>
  <si>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</si>
  <si>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</si>
  <si>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</si>
  <si>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</si>
  <si>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</si>
  <si>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</si>
  <si>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</si>
  <si>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</si>
  <si>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</si>
  <si>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</si>
  <si>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</si>
  <si>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</si>
  <si>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</si>
  <si>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</si>
  <si>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</si>
  <si>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</si>
  <si>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</si>
  <si>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</si>
  <si>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</si>
  <si>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</si>
  <si>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</si>
  <si>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</si>
  <si>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</si>
  <si>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</si>
  <si>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</si>
  <si>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</si>
  <si>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</si>
  <si>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</si>
  <si>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</si>
  <si>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</si>
  <si>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</si>
  <si>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</si>
  <si>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</si>
  <si>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</si>
  <si>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</si>
  <si>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</si>
  <si>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</si>
  <si>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</si>
  <si>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</si>
  <si>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</si>
  <si>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</si>
  <si>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</si>
  <si>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</si>
  <si>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</si>
  <si>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</si>
  <si>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</si>
  <si>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</si>
  <si>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</si>
  <si>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</si>
  <si>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</si>
  <si>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</si>
  <si>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</si>
  <si>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</si>
  <si>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</si>
  <si>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</si>
  <si>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</si>
  <si>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</si>
  <si>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</si>
  <si>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</si>
  <si>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</si>
  <si>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</si>
  <si>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</si>
  <si>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</si>
  <si>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</si>
  <si>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</si>
  <si>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</si>
  <si>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</si>
  <si>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</si>
  <si>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</si>
  <si>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</si>
  <si>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</si>
  <si>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</si>
  <si>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</si>
  <si>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</si>
  <si>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</si>
  <si>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</si>
  <si>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</si>
  <si>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</si>
  <si>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</si>
  <si>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</si>
  <si>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</si>
  <si>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</si>
  <si>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</si>
  <si>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</si>
  <si>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</si>
  <si>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</si>
  <si>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</si>
  <si>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</si>
  <si>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</si>
  <si>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</si>
  <si>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</si>
  <si>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</si>
  <si>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</si>
  <si>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</si>
  <si>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</si>
  <si>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</si>
  <si>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</si>
  <si>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</si>
  <si>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</si>
  <si>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</si>
  <si>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</si>
  <si>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</si>
  <si>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</si>
  <si>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</si>
  <si>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</si>
  <si>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</si>
  <si>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</si>
  <si>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</si>
  <si>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</si>
  <si>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</si>
  <si>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</si>
  <si>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</si>
  <si>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</si>
  <si>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</si>
  <si>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</si>
  <si>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</si>
  <si>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</si>
  <si>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</si>
  <si>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</si>
  <si>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</si>
  <si>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</si>
  <si>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</si>
  <si>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</si>
  <si>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</si>
  <si>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</si>
  <si>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</si>
  <si>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</si>
  <si>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</si>
  <si>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</si>
  <si>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</si>
  <si>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</si>
  <si>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</si>
  <si>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2: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 anuais</t>
    </r>
    <r>
      <rPr>
        <sz val="11"/>
        <color theme="1"/>
        <rFont val="Aptos Narrow"/>
        <family val="2"/>
        <scheme val="minor"/>
      </rPr>
      <t xml:space="preserve">, separado por auto renovação não é por auto renovação </t>
    </r>
  </si>
  <si>
    <r>
      <t xml:space="preserve">Pergunta de Negócio 1:Qual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 anuais</t>
    </r>
    <r>
      <rPr>
        <sz val="11"/>
        <color theme="1"/>
        <rFont val="Aptos Narrow"/>
        <family val="2"/>
        <scheme val="minor"/>
      </rPr>
      <t xml:space="preserve">(contendo todas as assinaturas agregadas) </t>
    </r>
  </si>
  <si>
    <t>XBOX GAME PASS SUBSCRIPTION SALES</t>
  </si>
  <si>
    <t>RHAYSSA BARBOSA</t>
  </si>
  <si>
    <t>Soma de EA Play Season Pass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</si>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</sst>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0" fillId="0" borderId="0" xfId="0" applyAlignment="1">
      <alignment horizontal="left"/>
    </xf>
    <xf numFmtId="164" fontId="0" fillId="5" borderId="0" xfId="0" applyNumberFormat="1" applyFill="1"/>
    <xf numFmtId="0" fontId="0" fillId="8" borderId="0" xfId="0" applyFill="1" applyAlignment="1">
      <alignment horizontal="left"/>
    </xf>
    <xf numFmtId="164" fontId="0" fillId="8" borderId="0" xfId="0" applyNumberFormat="1" applyFill="1"/>
    <xf numFmtId="0" fontId="0" fillId="4" borderId="0" xfId="0" applyFill="1" applyAlignment="1">
      <alignment horizontal="left"/>
    </xf>
    <xf numFmtId="164" fontId="0" fillId="4" borderId="0" xfId="0" applyNumberFormat="1" applyFill="1"/>
    <xf numFmtId="0" fontId="1" fillId="8" borderId="1" xfId="1" applyFill="1"/>
    <xf numFmtId="0" fontId="4" fillId="4" borderId="0" xfId="0" applyFont="1" applyFill="1" applyAlignment="1">
      <alignment horizontal="center" vertical="center"/>
    </xf>
    <xf numFmtId="0" fontId="4" fillId="8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4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22C55E"/>
        </patternFill>
      </fill>
    </dxf>
    <dxf>
      <fill>
        <patternFill>
          <bgColor rgb="FF22C55E"/>
        </patternFill>
      </fill>
    </dxf>
    <dxf>
      <fill>
        <patternFill>
          <bgColor rgb="FF22C55E"/>
        </patternFill>
      </fill>
    </dxf>
    <dxf>
      <fill>
        <patternFill>
          <bgColor theme="0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ill>
        <patternFill patternType="solid">
          <bgColor rgb="FF22C55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22C55E"/>
        </patternFill>
      </fill>
    </dxf>
    <dxf>
      <fill>
        <patternFill>
          <bgColor rgb="FF22C55E"/>
        </patternFill>
      </fill>
    </dxf>
    <dxf>
      <fill>
        <patternFill>
          <bgColor rgb="FF22C55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color rgb="FF22C55E"/>
      </font>
    </dxf>
    <dxf>
      <font>
        <color theme="6" tint="-0.499984740745262"/>
      </font>
    </dxf>
    <dxf>
      <font>
        <color rgb="FF22C55E"/>
      </font>
    </dxf>
    <dxf>
      <font>
        <b/>
        <i val="0"/>
        <color rgb="FF22C55E"/>
      </font>
    </dxf>
  </dxfs>
  <tableStyles count="5" defaultTableStyle="TableStyleMedium2" defaultPivotStyle="PivotStyleLight16">
    <tableStyle name="Estilo de Segmentação de Dados 1" pivot="0" table="0" count="1" xr9:uid="{651090CB-CD2D-46DD-9D3E-B797821EABE0}">
      <tableStyleElement type="headerRow" dxfId="48"/>
    </tableStyle>
    <tableStyle name="Estilo de Segmentação de Dados 2" pivot="0" table="0" count="1" xr9:uid="{22762D87-1DC1-4414-8ACE-7350EC7A7CE5}">
      <tableStyleElement type="headerRow" dxfId="47"/>
    </tableStyle>
    <tableStyle name="Estilo de Segmentação de Dados 3" pivot="0" table="0" count="1" xr9:uid="{A1E8DA75-8526-44A9-8968-A127D29D0106}"/>
    <tableStyle name="Estilo de Segmentação de Dados 4" pivot="0" table="0" count="1" xr9:uid="{444DD2A7-6213-4763-9EDD-823D6DA5C1BF}">
      <tableStyleElement type="wholeTable" dxfId="46"/>
    </tableStyle>
    <tableStyle name="Estilo de Segmentação de Dados 5" pivot="0" table="0" count="1" xr9:uid="{7DDC3EBD-EB4D-4F75-810B-63F9476026F0}">
      <tableStyleElement type="wholeTable" dxfId="45"/>
    </tableStyle>
  </tableStyles>
  <colors>
    <mruColors>
      <color rgb="FF22C55E"/>
      <color rgb="FFE0E0E0"/>
      <color rgb="FF2AE6B1"/>
      <color rgb="FFE8E6E9"/>
      <color rgb="FF5BF6A8"/>
      <color rgb="FF00000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">
        <dxf>
          <font>
            <b/>
            <i val="0"/>
            <color theme="1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selectedItemWithData" dxfId="0"/>
          </x14:slicerStyleElements>
        </x14:slicerStyle>
        <x14:slicerStyle name="Estilo de Segmentação de Dados 4"/>
        <x14:slicerStyle name="Estilo de Segmentação de Dados 5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[dashboard.xlsx]Planilha1!tbl_annual_total</c:name>
    <c:fmtId val="9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149072170816015"/>
          <c:y val="0.18301667877913597"/>
          <c:w val="0.5803699058051438"/>
          <c:h val="0.715202150737403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Planilha1!$D$9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Planilha1!$C$10:$C$12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Planilha1!$D$10:$D$12</c:f>
              <c:numCache>
                <c:formatCode>_-[$R$-416]\ * #,##0.00_-;\-[$R$-416]\ * #,##0.00_-;_-[$R$-416]\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4-4D17-96C6-6AB77885D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7157568"/>
        <c:axId val="447156608"/>
      </c:barChart>
      <c:catAx>
        <c:axId val="447157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156608"/>
        <c:crosses val="autoZero"/>
        <c:auto val="1"/>
        <c:lblAlgn val="ctr"/>
        <c:lblOffset val="100"/>
        <c:noMultiLvlLbl val="0"/>
      </c:catAx>
      <c:valAx>
        <c:axId val="4471566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44715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136523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136523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74625</xdr:colOff>
      <xdr:row>1</xdr:row>
      <xdr:rowOff>73342</xdr:rowOff>
    </xdr:from>
    <xdr:to>
      <xdr:col>1</xdr:col>
      <xdr:colOff>801053</xdr:colOff>
      <xdr:row>5</xdr:row>
      <xdr:rowOff>58578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9CA79D0-7A93-4B2D-B21E-8A60BFCAE5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3502" b="-11704"/>
        <a:stretch>
          <a:fillRect/>
        </a:stretch>
      </xdr:blipFill>
      <xdr:spPr>
        <a:xfrm>
          <a:off x="2205844" y="251936"/>
          <a:ext cx="726428" cy="675798"/>
        </a:xfrm>
        <a:prstGeom prst="rect">
          <a:avLst/>
        </a:prstGeom>
      </xdr:spPr>
    </xdr:pic>
    <xdr:clientData/>
  </xdr:twoCellAnchor>
  <xdr:twoCellAnchor>
    <xdr:from>
      <xdr:col>1</xdr:col>
      <xdr:colOff>237362</xdr:colOff>
      <xdr:row>19</xdr:row>
      <xdr:rowOff>47626</xdr:rowOff>
    </xdr:from>
    <xdr:to>
      <xdr:col>9</xdr:col>
      <xdr:colOff>164642</xdr:colOff>
      <xdr:row>35</xdr:row>
      <xdr:rowOff>49531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EAC7B6C4-975D-E139-3AE9-2A31227BAD26}"/>
            </a:ext>
          </a:extLst>
        </xdr:cNvPr>
        <xdr:cNvGrpSpPr/>
      </xdr:nvGrpSpPr>
      <xdr:grpSpPr>
        <a:xfrm>
          <a:off x="2370962" y="3590926"/>
          <a:ext cx="5070780" cy="2897505"/>
          <a:chOff x="2205844" y="1578770"/>
          <a:chExt cx="5056969" cy="2863215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D488FE41-75AB-1695-7B9B-248A4879E81A}"/>
              </a:ext>
            </a:extLst>
          </xdr:cNvPr>
          <xdr:cNvSpPr/>
        </xdr:nvSpPr>
        <xdr:spPr>
          <a:xfrm>
            <a:off x="2205844" y="1578770"/>
            <a:ext cx="5056969" cy="2863215"/>
          </a:xfrm>
          <a:prstGeom prst="roundRect">
            <a:avLst>
              <a:gd name="adj" fmla="val 876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917B69D2-CA50-490A-9361-E05D0F15A7F9}"/>
              </a:ext>
            </a:extLst>
          </xdr:cNvPr>
          <xdr:cNvGraphicFramePr>
            <a:graphicFrameLocks/>
          </xdr:cNvGraphicFramePr>
        </xdr:nvGraphicFramePr>
        <xdr:xfrm>
          <a:off x="2446351" y="1607794"/>
          <a:ext cx="4562475" cy="28065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146209</xdr:colOff>
      <xdr:row>8</xdr:row>
      <xdr:rowOff>380525</xdr:rowOff>
    </xdr:from>
    <xdr:to>
      <xdr:col>0</xdr:col>
      <xdr:colOff>1971199</xdr:colOff>
      <xdr:row>23</xdr:row>
      <xdr:rowOff>23813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281DE006-6447-4526-B767-AD20A4D2B7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209" y="1694975"/>
              <a:ext cx="1824990" cy="25960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704850</xdr:colOff>
      <xdr:row>1</xdr:row>
      <xdr:rowOff>50482</xdr:rowOff>
    </xdr:from>
    <xdr:to>
      <xdr:col>0</xdr:col>
      <xdr:colOff>1400175</xdr:colOff>
      <xdr:row>5</xdr:row>
      <xdr:rowOff>19050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D6A8439-EBA0-4618-B7F9-DD4BC94DBC5C}"/>
            </a:ext>
          </a:extLst>
        </xdr:cNvPr>
        <xdr:cNvSpPr/>
      </xdr:nvSpPr>
      <xdr:spPr>
        <a:xfrm>
          <a:off x="704850" y="229076"/>
          <a:ext cx="695325" cy="659130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323085</xdr:colOff>
      <xdr:row>8</xdr:row>
      <xdr:rowOff>135255</xdr:rowOff>
    </xdr:from>
    <xdr:to>
      <xdr:col>9</xdr:col>
      <xdr:colOff>57244</xdr:colOff>
      <xdr:row>18</xdr:row>
      <xdr:rowOff>0</xdr:rowOff>
    </xdr:to>
    <xdr:sp macro="" textlink="D̳ashboard!$D$22">
      <xdr:nvSpPr>
        <xdr:cNvPr id="12" name="Retângulo: Cantos Arredondados 11">
          <a:extLst>
            <a:ext uri="{FF2B5EF4-FFF2-40B4-BE49-F238E27FC236}">
              <a16:creationId xmlns:a16="http://schemas.microsoft.com/office/drawing/2014/main" id="{E1AF7EB5-2D28-98FC-72BA-42CBF1582058}"/>
            </a:ext>
          </a:extLst>
        </xdr:cNvPr>
        <xdr:cNvSpPr/>
      </xdr:nvSpPr>
      <xdr:spPr>
        <a:xfrm>
          <a:off x="2454304" y="1433036"/>
          <a:ext cx="4865753" cy="1888808"/>
        </a:xfrm>
        <a:prstGeom prst="roundRect">
          <a:avLst>
            <a:gd name="adj" fmla="val 10513"/>
          </a:avLst>
        </a:prstGeom>
        <a:solidFill>
          <a:schemeClr val="bg1"/>
        </a:solidFill>
        <a:ln>
          <a:solidFill>
            <a:srgbClr val="E0E0E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9EF8EBC-7644-47EF-BA08-448B7F050F00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 </a:t>
          </a:fld>
          <a:endParaRPr lang="pt-BR" sz="1100"/>
        </a:p>
      </xdr:txBody>
    </xdr:sp>
    <xdr:clientData/>
  </xdr:twoCellAnchor>
  <xdr:twoCellAnchor>
    <xdr:from>
      <xdr:col>4</xdr:col>
      <xdr:colOff>452438</xdr:colOff>
      <xdr:row>11</xdr:row>
      <xdr:rowOff>17145</xdr:rowOff>
    </xdr:from>
    <xdr:to>
      <xdr:col>8</xdr:col>
      <xdr:colOff>452438</xdr:colOff>
      <xdr:row>16</xdr:row>
      <xdr:rowOff>1</xdr:rowOff>
    </xdr:to>
    <xdr:sp macro="" textlink="Planilha1!F22">
      <xdr:nvSpPr>
        <xdr:cNvPr id="13" name="Retângulo: Cantos Arredondados 12">
          <a:extLst>
            <a:ext uri="{FF2B5EF4-FFF2-40B4-BE49-F238E27FC236}">
              <a16:creationId xmlns:a16="http://schemas.microsoft.com/office/drawing/2014/main" id="{5B4E725D-4EEC-4406-ACAD-7AA966A7E965}"/>
            </a:ext>
          </a:extLst>
        </xdr:cNvPr>
        <xdr:cNvSpPr/>
      </xdr:nvSpPr>
      <xdr:spPr>
        <a:xfrm>
          <a:off x="4679157" y="2088833"/>
          <a:ext cx="2428875" cy="875824"/>
        </a:xfrm>
        <a:prstGeom prst="roundRect">
          <a:avLst>
            <a:gd name="adj" fmla="val 12059"/>
          </a:avLst>
        </a:prstGeom>
        <a:solidFill>
          <a:schemeClr val="bg1"/>
        </a:solidFill>
        <a:ln>
          <a:solidFill>
            <a:srgbClr val="E0E0E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ED2C247-A7B0-4BE1-8221-4064C4411B55}" type="TxLink">
            <a:rPr lang="en-US" sz="4000" b="0" i="0" u="none" strike="noStrike">
              <a:solidFill>
                <a:srgbClr val="22C55E"/>
              </a:solidFill>
              <a:latin typeface="Aptos Narrow"/>
            </a:rPr>
            <a:pPr algn="ctr"/>
            <a:t> R$ 600,00 </a:t>
          </a:fld>
          <a:endParaRPr lang="en-US" sz="4000">
            <a:solidFill>
              <a:srgbClr val="22C55E"/>
            </a:solidFill>
          </a:endParaRPr>
        </a:p>
      </xdr:txBody>
    </xdr:sp>
    <xdr:clientData/>
  </xdr:twoCellAnchor>
  <xdr:twoCellAnchor editAs="oneCell">
    <xdr:from>
      <xdr:col>1</xdr:col>
      <xdr:colOff>398332</xdr:colOff>
      <xdr:row>8</xdr:row>
      <xdr:rowOff>292465</xdr:rowOff>
    </xdr:from>
    <xdr:to>
      <xdr:col>4</xdr:col>
      <xdr:colOff>162639</xdr:colOff>
      <xdr:row>18</xdr:row>
      <xdr:rowOff>130969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81FD38F1-8C93-4FED-310E-88C492064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29551" y="1590246"/>
          <a:ext cx="1859807" cy="1862567"/>
        </a:xfrm>
        <a:prstGeom prst="rect">
          <a:avLst/>
        </a:prstGeom>
      </xdr:spPr>
    </xdr:pic>
    <xdr:clientData/>
  </xdr:twoCellAnchor>
  <xdr:twoCellAnchor>
    <xdr:from>
      <xdr:col>1</xdr:col>
      <xdr:colOff>326802</xdr:colOff>
      <xdr:row>8</xdr:row>
      <xdr:rowOff>131921</xdr:rowOff>
    </xdr:from>
    <xdr:to>
      <xdr:col>9</xdr:col>
      <xdr:colOff>53434</xdr:colOff>
      <xdr:row>10</xdr:row>
      <xdr:rowOff>0</xdr:rowOff>
    </xdr:to>
    <xdr:sp macro="" textlink="">
      <xdr:nvSpPr>
        <xdr:cNvPr id="16" name="Retângulo: Cantos Superiores Arredondados 15">
          <a:extLst>
            <a:ext uri="{FF2B5EF4-FFF2-40B4-BE49-F238E27FC236}">
              <a16:creationId xmlns:a16="http://schemas.microsoft.com/office/drawing/2014/main" id="{5B15C253-8CAE-61D9-BF26-BAD606924680}"/>
            </a:ext>
          </a:extLst>
        </xdr:cNvPr>
        <xdr:cNvSpPr/>
      </xdr:nvSpPr>
      <xdr:spPr>
        <a:xfrm>
          <a:off x="2458021" y="1429702"/>
          <a:ext cx="4858226" cy="463392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TOTAL</a:t>
          </a:r>
          <a:r>
            <a:rPr lang="pt-BR" sz="1100" b="1" baseline="0"/>
            <a:t> SUBSCRIPTION EA PLAY SEASON PASS</a:t>
          </a:r>
          <a:endParaRPr lang="pt-BR" sz="11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hayssa Santos" refreshedDate="46035.650267708334" createdVersion="8" refreshedVersion="8" minRefreshableVersion="3" recordCount="296" xr:uid="{D6F4A6F4-3292-452D-8F30-967623483A2C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298962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x v="0"/>
    <x v="0"/>
    <d v="2024-01-01T00:00:00"/>
    <x v="0"/>
    <n v="15"/>
    <x v="0"/>
    <s v="Yes"/>
    <n v="30"/>
    <s v="Yes"/>
    <n v="20"/>
    <n v="5"/>
    <n v="60"/>
  </r>
  <r>
    <n v="3232"/>
    <x v="1"/>
    <x v="1"/>
    <d v="2024-01-15T00:00:00"/>
    <x v="1"/>
    <n v="5"/>
    <x v="1"/>
    <s v="No"/>
    <s v="-"/>
    <s v="No"/>
    <n v="0"/>
    <n v="0"/>
    <n v="5"/>
  </r>
  <r>
    <n v="3233"/>
    <x v="2"/>
    <x v="2"/>
    <d v="2024-02-10T00:00:00"/>
    <x v="0"/>
    <n v="10"/>
    <x v="2"/>
    <s v="No"/>
    <s v="-"/>
    <s v="Yes"/>
    <n v="20"/>
    <n v="10"/>
    <n v="20"/>
  </r>
  <r>
    <n v="3234"/>
    <x v="3"/>
    <x v="0"/>
    <d v="2024-02-20T00:00:00"/>
    <x v="1"/>
    <n v="15"/>
    <x v="0"/>
    <s v="Yes"/>
    <n v="30"/>
    <s v="Yes"/>
    <n v="20"/>
    <n v="3"/>
    <n v="62"/>
  </r>
  <r>
    <n v="3235"/>
    <x v="4"/>
    <x v="1"/>
    <d v="2024-03-05T00:00:00"/>
    <x v="0"/>
    <n v="5"/>
    <x v="0"/>
    <s v="No"/>
    <s v="-"/>
    <s v="No"/>
    <n v="0"/>
    <n v="1"/>
    <n v="4"/>
  </r>
  <r>
    <n v="3236"/>
    <x v="5"/>
    <x v="2"/>
    <d v="2024-03-02T00:00:00"/>
    <x v="1"/>
    <n v="10"/>
    <x v="0"/>
    <s v="No"/>
    <s v="-"/>
    <s v="Yes"/>
    <n v="20"/>
    <n v="2"/>
    <n v="28"/>
  </r>
  <r>
    <n v="3237"/>
    <x v="6"/>
    <x v="0"/>
    <d v="2024-03-03T00:00:00"/>
    <x v="0"/>
    <n v="15"/>
    <x v="2"/>
    <s v="Yes"/>
    <n v="30"/>
    <s v="Yes"/>
    <n v="20"/>
    <n v="10"/>
    <n v="55"/>
  </r>
  <r>
    <n v="3238"/>
    <x v="7"/>
    <x v="1"/>
    <d v="2024-03-04T00:00:00"/>
    <x v="0"/>
    <n v="5"/>
    <x v="1"/>
    <s v="No"/>
    <s v="-"/>
    <s v="No"/>
    <n v="0"/>
    <n v="0"/>
    <n v="5"/>
  </r>
  <r>
    <n v="3239"/>
    <x v="8"/>
    <x v="0"/>
    <d v="2024-03-05T00:00:00"/>
    <x v="1"/>
    <n v="15"/>
    <x v="0"/>
    <s v="Yes"/>
    <n v="30"/>
    <s v="Yes"/>
    <n v="20"/>
    <n v="5"/>
    <n v="60"/>
  </r>
  <r>
    <n v="3240"/>
    <x v="9"/>
    <x v="2"/>
    <d v="2024-03-06T00:00:00"/>
    <x v="0"/>
    <n v="10"/>
    <x v="2"/>
    <s v="No"/>
    <s v="-"/>
    <s v="Yes"/>
    <n v="20"/>
    <n v="15"/>
    <n v="15"/>
  </r>
  <r>
    <n v="3241"/>
    <x v="10"/>
    <x v="1"/>
    <d v="2024-03-07T00:00:00"/>
    <x v="1"/>
    <n v="5"/>
    <x v="0"/>
    <s v="No"/>
    <s v="-"/>
    <s v="No"/>
    <n v="0"/>
    <n v="1"/>
    <n v="4"/>
  </r>
  <r>
    <n v="3242"/>
    <x v="11"/>
    <x v="0"/>
    <d v="2024-03-08T00:00:00"/>
    <x v="0"/>
    <n v="15"/>
    <x v="1"/>
    <s v="Yes"/>
    <n v="30"/>
    <s v="Yes"/>
    <n v="20"/>
    <n v="20"/>
    <n v="45"/>
  </r>
  <r>
    <n v="3243"/>
    <x v="12"/>
    <x v="2"/>
    <d v="2024-03-09T00:00:00"/>
    <x v="1"/>
    <n v="10"/>
    <x v="0"/>
    <s v="No"/>
    <s v="-"/>
    <s v="Yes"/>
    <n v="20"/>
    <n v="10"/>
    <n v="20"/>
  </r>
  <r>
    <n v="3244"/>
    <x v="13"/>
    <x v="1"/>
    <d v="2024-03-10T00:00:00"/>
    <x v="0"/>
    <n v="5"/>
    <x v="2"/>
    <s v="No"/>
    <s v="-"/>
    <s v="No"/>
    <n v="0"/>
    <n v="0"/>
    <n v="5"/>
  </r>
  <r>
    <n v="3245"/>
    <x v="14"/>
    <x v="0"/>
    <d v="2024-03-11T00:00:00"/>
    <x v="1"/>
    <n v="15"/>
    <x v="0"/>
    <s v="Yes"/>
    <n v="30"/>
    <s v="Yes"/>
    <n v="20"/>
    <n v="8"/>
    <n v="57"/>
  </r>
  <r>
    <n v="3246"/>
    <x v="15"/>
    <x v="2"/>
    <d v="2024-03-12T00:00:00"/>
    <x v="0"/>
    <n v="10"/>
    <x v="1"/>
    <s v="No"/>
    <s v="-"/>
    <s v="Yes"/>
    <n v="20"/>
    <n v="12"/>
    <n v="18"/>
  </r>
  <r>
    <n v="3247"/>
    <x v="16"/>
    <x v="1"/>
    <d v="2024-03-13T00:00:00"/>
    <x v="1"/>
    <n v="5"/>
    <x v="0"/>
    <s v="No"/>
    <s v="-"/>
    <s v="No"/>
    <n v="0"/>
    <n v="2"/>
    <n v="3"/>
  </r>
  <r>
    <n v="3248"/>
    <x v="17"/>
    <x v="0"/>
    <d v="2024-03-14T00:00:00"/>
    <x v="0"/>
    <n v="15"/>
    <x v="2"/>
    <s v="Yes"/>
    <n v="30"/>
    <s v="Yes"/>
    <n v="20"/>
    <n v="7"/>
    <n v="58"/>
  </r>
  <r>
    <n v="3249"/>
    <x v="18"/>
    <x v="2"/>
    <d v="2024-03-15T00:00:00"/>
    <x v="1"/>
    <n v="10"/>
    <x v="0"/>
    <s v="No"/>
    <s v="-"/>
    <s v="Yes"/>
    <n v="20"/>
    <n v="5"/>
    <n v="25"/>
  </r>
  <r>
    <n v="3250"/>
    <x v="19"/>
    <x v="1"/>
    <d v="2024-03-16T00:00:00"/>
    <x v="0"/>
    <n v="5"/>
    <x v="1"/>
    <s v="No"/>
    <s v="-"/>
    <s v="No"/>
    <n v="0"/>
    <n v="0"/>
    <n v="5"/>
  </r>
  <r>
    <n v="3251"/>
    <x v="20"/>
    <x v="0"/>
    <d v="2024-03-17T00:00:00"/>
    <x v="1"/>
    <n v="15"/>
    <x v="0"/>
    <s v="Yes"/>
    <n v="30"/>
    <s v="Yes"/>
    <n v="20"/>
    <n v="3"/>
    <n v="62"/>
  </r>
  <r>
    <n v="3252"/>
    <x v="21"/>
    <x v="2"/>
    <d v="2024-03-18T00:00:00"/>
    <x v="0"/>
    <n v="10"/>
    <x v="2"/>
    <s v="No"/>
    <s v="-"/>
    <s v="Yes"/>
    <n v="20"/>
    <n v="15"/>
    <n v="15"/>
  </r>
  <r>
    <n v="3253"/>
    <x v="22"/>
    <x v="1"/>
    <d v="2024-03-19T00:00:00"/>
    <x v="1"/>
    <n v="5"/>
    <x v="0"/>
    <s v="No"/>
    <s v="-"/>
    <s v="No"/>
    <n v="0"/>
    <n v="1"/>
    <n v="4"/>
  </r>
  <r>
    <n v="3254"/>
    <x v="23"/>
    <x v="0"/>
    <d v="2024-03-20T00:00:00"/>
    <x v="0"/>
    <n v="15"/>
    <x v="1"/>
    <s v="Yes"/>
    <n v="30"/>
    <s v="Yes"/>
    <n v="20"/>
    <n v="20"/>
    <n v="45"/>
  </r>
  <r>
    <n v="3255"/>
    <x v="24"/>
    <x v="2"/>
    <d v="2024-03-21T00:00:00"/>
    <x v="1"/>
    <n v="10"/>
    <x v="0"/>
    <s v="No"/>
    <s v="-"/>
    <s v="Yes"/>
    <n v="20"/>
    <n v="10"/>
    <n v="20"/>
  </r>
  <r>
    <n v="3256"/>
    <x v="25"/>
    <x v="1"/>
    <d v="2024-03-22T00:00:00"/>
    <x v="0"/>
    <n v="5"/>
    <x v="2"/>
    <s v="No"/>
    <s v="-"/>
    <s v="No"/>
    <n v="0"/>
    <n v="0"/>
    <n v="5"/>
  </r>
  <r>
    <n v="3257"/>
    <x v="26"/>
    <x v="0"/>
    <d v="2024-03-23T00:00:00"/>
    <x v="1"/>
    <n v="15"/>
    <x v="0"/>
    <s v="Yes"/>
    <n v="30"/>
    <s v="Yes"/>
    <n v="20"/>
    <n v="5"/>
    <n v="60"/>
  </r>
  <r>
    <n v="3258"/>
    <x v="27"/>
    <x v="2"/>
    <d v="2024-03-24T00:00:00"/>
    <x v="0"/>
    <n v="10"/>
    <x v="1"/>
    <s v="No"/>
    <s v="-"/>
    <s v="Yes"/>
    <n v="20"/>
    <n v="15"/>
    <n v="15"/>
  </r>
  <r>
    <n v="3259"/>
    <x v="28"/>
    <x v="1"/>
    <d v="2024-03-25T00:00:00"/>
    <x v="1"/>
    <n v="5"/>
    <x v="0"/>
    <s v="No"/>
    <s v="-"/>
    <s v="No"/>
    <n v="0"/>
    <n v="1"/>
    <n v="4"/>
  </r>
  <r>
    <n v="3260"/>
    <x v="29"/>
    <x v="0"/>
    <d v="2024-03-26T00:00:00"/>
    <x v="0"/>
    <n v="15"/>
    <x v="2"/>
    <s v="Yes"/>
    <n v="30"/>
    <s v="Yes"/>
    <n v="20"/>
    <n v="7"/>
    <n v="58"/>
  </r>
  <r>
    <n v="3261"/>
    <x v="30"/>
    <x v="2"/>
    <d v="2024-03-27T00:00:00"/>
    <x v="1"/>
    <n v="10"/>
    <x v="0"/>
    <s v="No"/>
    <s v="-"/>
    <s v="Yes"/>
    <n v="20"/>
    <n v="10"/>
    <n v="20"/>
  </r>
  <r>
    <n v="3262"/>
    <x v="31"/>
    <x v="1"/>
    <d v="2024-03-28T00:00:00"/>
    <x v="0"/>
    <n v="5"/>
    <x v="1"/>
    <s v="No"/>
    <s v="-"/>
    <s v="No"/>
    <n v="0"/>
    <n v="0"/>
    <n v="5"/>
  </r>
  <r>
    <n v="3263"/>
    <x v="32"/>
    <x v="0"/>
    <d v="2024-03-29T00:00:00"/>
    <x v="1"/>
    <n v="15"/>
    <x v="0"/>
    <s v="Yes"/>
    <n v="30"/>
    <s v="Yes"/>
    <n v="20"/>
    <n v="3"/>
    <n v="62"/>
  </r>
  <r>
    <n v="3264"/>
    <x v="33"/>
    <x v="2"/>
    <d v="2024-03-30T00:00:00"/>
    <x v="0"/>
    <n v="10"/>
    <x v="2"/>
    <s v="No"/>
    <s v="-"/>
    <s v="Yes"/>
    <n v="20"/>
    <n v="15"/>
    <n v="15"/>
  </r>
  <r>
    <n v="3265"/>
    <x v="34"/>
    <x v="1"/>
    <d v="2024-03-31T00:00:00"/>
    <x v="1"/>
    <n v="5"/>
    <x v="0"/>
    <s v="No"/>
    <s v="-"/>
    <s v="No"/>
    <n v="0"/>
    <n v="1"/>
    <n v="4"/>
  </r>
  <r>
    <n v="3266"/>
    <x v="35"/>
    <x v="1"/>
    <d v="2024-04-01T00:00:00"/>
    <x v="0"/>
    <n v="5"/>
    <x v="0"/>
    <s v="No"/>
    <s v="-"/>
    <s v="No"/>
    <n v="0"/>
    <n v="0"/>
    <n v="5"/>
  </r>
  <r>
    <n v="3267"/>
    <x v="36"/>
    <x v="0"/>
    <d v="2024-04-02T00:00:00"/>
    <x v="1"/>
    <n v="15"/>
    <x v="2"/>
    <s v="Yes"/>
    <n v="30"/>
    <s v="Yes"/>
    <n v="20"/>
    <n v="7"/>
    <n v="58"/>
  </r>
  <r>
    <n v="3268"/>
    <x v="37"/>
    <x v="2"/>
    <d v="2024-04-03T00:00:00"/>
    <x v="0"/>
    <n v="10"/>
    <x v="1"/>
    <s v="No"/>
    <s v="-"/>
    <s v="Yes"/>
    <n v="20"/>
    <n v="10"/>
    <n v="20"/>
  </r>
  <r>
    <n v="3269"/>
    <x v="38"/>
    <x v="1"/>
    <d v="2024-04-04T00:00:00"/>
    <x v="1"/>
    <n v="5"/>
    <x v="2"/>
    <s v="No"/>
    <s v="-"/>
    <s v="No"/>
    <n v="0"/>
    <n v="1"/>
    <n v="4"/>
  </r>
  <r>
    <n v="3270"/>
    <x v="39"/>
    <x v="0"/>
    <d v="2024-04-05T00:00:00"/>
    <x v="0"/>
    <n v="15"/>
    <x v="0"/>
    <s v="Yes"/>
    <n v="30"/>
    <s v="Yes"/>
    <n v="20"/>
    <n v="15"/>
    <n v="50"/>
  </r>
  <r>
    <n v="3271"/>
    <x v="40"/>
    <x v="2"/>
    <d v="2024-04-06T00:00:00"/>
    <x v="1"/>
    <n v="10"/>
    <x v="0"/>
    <s v="No"/>
    <s v="-"/>
    <s v="Yes"/>
    <n v="20"/>
    <n v="5"/>
    <n v="25"/>
  </r>
  <r>
    <n v="3272"/>
    <x v="41"/>
    <x v="1"/>
    <d v="2024-04-07T00:00:00"/>
    <x v="0"/>
    <n v="5"/>
    <x v="1"/>
    <s v="No"/>
    <s v="-"/>
    <s v="No"/>
    <n v="0"/>
    <n v="0"/>
    <n v="5"/>
  </r>
  <r>
    <n v="3273"/>
    <x v="42"/>
    <x v="0"/>
    <d v="2024-04-08T00:00:00"/>
    <x v="1"/>
    <n v="15"/>
    <x v="2"/>
    <s v="Yes"/>
    <n v="30"/>
    <s v="Yes"/>
    <n v="20"/>
    <n v="20"/>
    <n v="45"/>
  </r>
  <r>
    <n v="3274"/>
    <x v="43"/>
    <x v="2"/>
    <d v="2024-04-09T00:00:00"/>
    <x v="0"/>
    <n v="10"/>
    <x v="2"/>
    <s v="No"/>
    <s v="-"/>
    <s v="Yes"/>
    <n v="20"/>
    <n v="12"/>
    <n v="18"/>
  </r>
  <r>
    <n v="3275"/>
    <x v="44"/>
    <x v="1"/>
    <d v="2024-04-10T00:00:00"/>
    <x v="1"/>
    <n v="5"/>
    <x v="0"/>
    <s v="No"/>
    <s v="-"/>
    <s v="No"/>
    <n v="0"/>
    <n v="2"/>
    <n v="3"/>
  </r>
  <r>
    <n v="3276"/>
    <x v="45"/>
    <x v="0"/>
    <d v="2024-04-11T00:00:00"/>
    <x v="0"/>
    <n v="15"/>
    <x v="1"/>
    <s v="Yes"/>
    <n v="30"/>
    <s v="Yes"/>
    <n v="20"/>
    <n v="5"/>
    <n v="60"/>
  </r>
  <r>
    <n v="3277"/>
    <x v="46"/>
    <x v="2"/>
    <d v="2024-04-12T00:00:00"/>
    <x v="1"/>
    <n v="10"/>
    <x v="0"/>
    <s v="No"/>
    <s v="-"/>
    <s v="Yes"/>
    <n v="20"/>
    <n v="10"/>
    <n v="20"/>
  </r>
  <r>
    <n v="3278"/>
    <x v="47"/>
    <x v="1"/>
    <d v="2024-04-13T00:00:00"/>
    <x v="0"/>
    <n v="5"/>
    <x v="2"/>
    <s v="No"/>
    <s v="-"/>
    <s v="No"/>
    <n v="0"/>
    <n v="0"/>
    <n v="5"/>
  </r>
  <r>
    <n v="3279"/>
    <x v="48"/>
    <x v="0"/>
    <d v="2024-04-14T00:00:00"/>
    <x v="1"/>
    <n v="15"/>
    <x v="0"/>
    <s v="Yes"/>
    <n v="30"/>
    <s v="Yes"/>
    <n v="20"/>
    <n v="3"/>
    <n v="62"/>
  </r>
  <r>
    <n v="3280"/>
    <x v="49"/>
    <x v="2"/>
    <d v="2024-04-15T00:00:00"/>
    <x v="0"/>
    <n v="10"/>
    <x v="1"/>
    <s v="No"/>
    <s v="-"/>
    <s v="Yes"/>
    <n v="20"/>
    <n v="15"/>
    <n v="15"/>
  </r>
  <r>
    <n v="3281"/>
    <x v="50"/>
    <x v="1"/>
    <d v="2024-04-16T00:00:00"/>
    <x v="1"/>
    <n v="5"/>
    <x v="0"/>
    <s v="No"/>
    <s v="-"/>
    <s v="No"/>
    <n v="0"/>
    <n v="1"/>
    <n v="4"/>
  </r>
  <r>
    <n v="3282"/>
    <x v="51"/>
    <x v="0"/>
    <d v="2024-04-17T00:00:00"/>
    <x v="0"/>
    <n v="15"/>
    <x v="2"/>
    <s v="Yes"/>
    <n v="30"/>
    <s v="Yes"/>
    <n v="20"/>
    <n v="7"/>
    <n v="58"/>
  </r>
  <r>
    <n v="3283"/>
    <x v="52"/>
    <x v="2"/>
    <d v="2024-04-18T00:00:00"/>
    <x v="1"/>
    <n v="10"/>
    <x v="0"/>
    <s v="No"/>
    <s v="-"/>
    <s v="Yes"/>
    <n v="20"/>
    <n v="10"/>
    <n v="20"/>
  </r>
  <r>
    <n v="3284"/>
    <x v="53"/>
    <x v="1"/>
    <d v="2024-04-19T00:00:00"/>
    <x v="0"/>
    <n v="5"/>
    <x v="1"/>
    <s v="No"/>
    <s v="-"/>
    <s v="No"/>
    <n v="0"/>
    <n v="0"/>
    <n v="5"/>
  </r>
  <r>
    <n v="3285"/>
    <x v="54"/>
    <x v="0"/>
    <d v="2024-04-20T00:00:00"/>
    <x v="1"/>
    <n v="15"/>
    <x v="0"/>
    <s v="Yes"/>
    <n v="30"/>
    <s v="Yes"/>
    <n v="20"/>
    <n v="20"/>
    <n v="45"/>
  </r>
  <r>
    <n v="3286"/>
    <x v="55"/>
    <x v="2"/>
    <d v="2024-04-21T00:00:00"/>
    <x v="0"/>
    <n v="10"/>
    <x v="2"/>
    <s v="No"/>
    <s v="-"/>
    <s v="Yes"/>
    <n v="20"/>
    <n v="15"/>
    <n v="15"/>
  </r>
  <r>
    <n v="3287"/>
    <x v="56"/>
    <x v="1"/>
    <d v="2024-04-22T00:00:00"/>
    <x v="1"/>
    <n v="5"/>
    <x v="0"/>
    <s v="No"/>
    <s v="-"/>
    <s v="No"/>
    <n v="0"/>
    <n v="1"/>
    <n v="4"/>
  </r>
  <r>
    <n v="3288"/>
    <x v="57"/>
    <x v="0"/>
    <d v="2024-04-23T00:00:00"/>
    <x v="0"/>
    <n v="15"/>
    <x v="1"/>
    <s v="Yes"/>
    <n v="30"/>
    <s v="Yes"/>
    <n v="20"/>
    <n v="3"/>
    <n v="62"/>
  </r>
  <r>
    <n v="3289"/>
    <x v="58"/>
    <x v="2"/>
    <d v="2024-04-24T00:00:00"/>
    <x v="1"/>
    <n v="10"/>
    <x v="0"/>
    <s v="No"/>
    <s v="-"/>
    <s v="Yes"/>
    <n v="20"/>
    <n v="10"/>
    <n v="20"/>
  </r>
  <r>
    <n v="3290"/>
    <x v="59"/>
    <x v="1"/>
    <d v="2024-04-25T00:00:00"/>
    <x v="0"/>
    <n v="5"/>
    <x v="2"/>
    <s v="No"/>
    <s v="-"/>
    <s v="No"/>
    <n v="0"/>
    <n v="0"/>
    <n v="5"/>
  </r>
  <r>
    <n v="3291"/>
    <x v="60"/>
    <x v="0"/>
    <d v="2024-04-26T00:00:00"/>
    <x v="1"/>
    <n v="15"/>
    <x v="0"/>
    <s v="Yes"/>
    <n v="30"/>
    <s v="Yes"/>
    <n v="20"/>
    <n v="5"/>
    <n v="60"/>
  </r>
  <r>
    <n v="3292"/>
    <x v="61"/>
    <x v="2"/>
    <d v="2024-04-27T00:00:00"/>
    <x v="0"/>
    <n v="10"/>
    <x v="1"/>
    <s v="No"/>
    <s v="-"/>
    <s v="Yes"/>
    <n v="20"/>
    <n v="15"/>
    <n v="15"/>
  </r>
  <r>
    <n v="3293"/>
    <x v="62"/>
    <x v="1"/>
    <d v="2024-04-28T00:00:00"/>
    <x v="1"/>
    <n v="5"/>
    <x v="0"/>
    <s v="No"/>
    <s v="-"/>
    <s v="No"/>
    <n v="0"/>
    <n v="1"/>
    <n v="4"/>
  </r>
  <r>
    <n v="3294"/>
    <x v="63"/>
    <x v="0"/>
    <d v="2024-04-29T00:00:00"/>
    <x v="0"/>
    <n v="15"/>
    <x v="2"/>
    <s v="Yes"/>
    <n v="30"/>
    <s v="Yes"/>
    <n v="20"/>
    <n v="20"/>
    <n v="45"/>
  </r>
  <r>
    <n v="3295"/>
    <x v="64"/>
    <x v="2"/>
    <d v="2024-04-30T00:00:00"/>
    <x v="1"/>
    <n v="10"/>
    <x v="0"/>
    <s v="No"/>
    <s v="-"/>
    <s v="Yes"/>
    <n v="20"/>
    <n v="5"/>
    <n v="25"/>
  </r>
  <r>
    <n v="3296"/>
    <x v="65"/>
    <x v="1"/>
    <d v="2024-05-01T00:00:00"/>
    <x v="1"/>
    <n v="5"/>
    <x v="0"/>
    <s v="No"/>
    <s v="-"/>
    <s v="No"/>
    <n v="0"/>
    <n v="0"/>
    <n v="5"/>
  </r>
  <r>
    <n v="3297"/>
    <x v="66"/>
    <x v="0"/>
    <d v="2024-05-02T00:00:00"/>
    <x v="0"/>
    <n v="15"/>
    <x v="2"/>
    <s v="Yes"/>
    <n v="30"/>
    <s v="Yes"/>
    <n v="20"/>
    <n v="7"/>
    <n v="58"/>
  </r>
  <r>
    <n v="3298"/>
    <x v="67"/>
    <x v="2"/>
    <d v="2024-05-03T00:00:00"/>
    <x v="1"/>
    <n v="10"/>
    <x v="1"/>
    <s v="No"/>
    <s v="-"/>
    <s v="Yes"/>
    <n v="20"/>
    <n v="10"/>
    <n v="20"/>
  </r>
  <r>
    <n v="3299"/>
    <x v="68"/>
    <x v="1"/>
    <d v="2024-05-04T00:00:00"/>
    <x v="0"/>
    <n v="5"/>
    <x v="2"/>
    <s v="No"/>
    <s v="-"/>
    <s v="No"/>
    <n v="0"/>
    <n v="1"/>
    <n v="4"/>
  </r>
  <r>
    <n v="3300"/>
    <x v="69"/>
    <x v="0"/>
    <d v="2024-05-05T00:00:00"/>
    <x v="1"/>
    <n v="15"/>
    <x v="0"/>
    <s v="Yes"/>
    <n v="30"/>
    <s v="Yes"/>
    <n v="20"/>
    <n v="15"/>
    <n v="50"/>
  </r>
  <r>
    <n v="3301"/>
    <x v="70"/>
    <x v="2"/>
    <d v="2024-05-06T00:00:00"/>
    <x v="0"/>
    <n v="10"/>
    <x v="0"/>
    <s v="No"/>
    <s v="-"/>
    <s v="Yes"/>
    <n v="20"/>
    <n v="5"/>
    <n v="25"/>
  </r>
  <r>
    <n v="3302"/>
    <x v="71"/>
    <x v="1"/>
    <d v="2024-05-07T00:00:00"/>
    <x v="1"/>
    <n v="5"/>
    <x v="1"/>
    <s v="No"/>
    <s v="-"/>
    <s v="No"/>
    <n v="0"/>
    <n v="0"/>
    <n v="5"/>
  </r>
  <r>
    <n v="3303"/>
    <x v="72"/>
    <x v="0"/>
    <d v="2024-05-08T00:00:00"/>
    <x v="0"/>
    <n v="15"/>
    <x v="2"/>
    <s v="Yes"/>
    <n v="30"/>
    <s v="Yes"/>
    <n v="20"/>
    <n v="20"/>
    <n v="45"/>
  </r>
  <r>
    <n v="3304"/>
    <x v="73"/>
    <x v="2"/>
    <d v="2024-05-09T00:00:00"/>
    <x v="1"/>
    <n v="10"/>
    <x v="2"/>
    <s v="No"/>
    <s v="-"/>
    <s v="Yes"/>
    <n v="20"/>
    <n v="12"/>
    <n v="18"/>
  </r>
  <r>
    <n v="3305"/>
    <x v="74"/>
    <x v="1"/>
    <d v="2024-05-10T00:00:00"/>
    <x v="0"/>
    <n v="5"/>
    <x v="0"/>
    <s v="No"/>
    <s v="-"/>
    <s v="No"/>
    <n v="0"/>
    <n v="2"/>
    <n v="3"/>
  </r>
  <r>
    <n v="3306"/>
    <x v="75"/>
    <x v="0"/>
    <d v="2024-05-11T00:00:00"/>
    <x v="1"/>
    <n v="15"/>
    <x v="1"/>
    <s v="Yes"/>
    <n v="30"/>
    <s v="Yes"/>
    <n v="20"/>
    <n v="5"/>
    <n v="60"/>
  </r>
  <r>
    <n v="3307"/>
    <x v="76"/>
    <x v="2"/>
    <d v="2024-05-12T00:00:00"/>
    <x v="0"/>
    <n v="10"/>
    <x v="0"/>
    <s v="No"/>
    <s v="-"/>
    <s v="Yes"/>
    <n v="20"/>
    <n v="10"/>
    <n v="20"/>
  </r>
  <r>
    <n v="3308"/>
    <x v="77"/>
    <x v="1"/>
    <d v="2024-05-13T00:00:00"/>
    <x v="1"/>
    <n v="5"/>
    <x v="2"/>
    <s v="No"/>
    <s v="-"/>
    <s v="No"/>
    <n v="0"/>
    <n v="0"/>
    <n v="5"/>
  </r>
  <r>
    <n v="3309"/>
    <x v="78"/>
    <x v="0"/>
    <d v="2024-05-14T00:00:00"/>
    <x v="0"/>
    <n v="15"/>
    <x v="0"/>
    <s v="Yes"/>
    <n v="30"/>
    <s v="Yes"/>
    <n v="20"/>
    <n v="3"/>
    <n v="62"/>
  </r>
  <r>
    <n v="3310"/>
    <x v="79"/>
    <x v="2"/>
    <d v="2024-05-15T00:00:00"/>
    <x v="1"/>
    <n v="10"/>
    <x v="1"/>
    <s v="No"/>
    <s v="-"/>
    <s v="Yes"/>
    <n v="20"/>
    <n v="15"/>
    <n v="15"/>
  </r>
  <r>
    <n v="3311"/>
    <x v="80"/>
    <x v="1"/>
    <d v="2024-05-16T00:00:00"/>
    <x v="0"/>
    <n v="5"/>
    <x v="0"/>
    <s v="No"/>
    <s v="-"/>
    <s v="No"/>
    <n v="0"/>
    <n v="1"/>
    <n v="4"/>
  </r>
  <r>
    <n v="3312"/>
    <x v="81"/>
    <x v="0"/>
    <d v="2024-05-17T00:00:00"/>
    <x v="1"/>
    <n v="15"/>
    <x v="2"/>
    <s v="Yes"/>
    <n v="30"/>
    <s v="Yes"/>
    <n v="20"/>
    <n v="7"/>
    <n v="58"/>
  </r>
  <r>
    <n v="3313"/>
    <x v="82"/>
    <x v="2"/>
    <d v="2024-05-18T00:00:00"/>
    <x v="0"/>
    <n v="10"/>
    <x v="0"/>
    <s v="No"/>
    <s v="-"/>
    <s v="Yes"/>
    <n v="20"/>
    <n v="10"/>
    <n v="20"/>
  </r>
  <r>
    <n v="3314"/>
    <x v="83"/>
    <x v="1"/>
    <d v="2024-05-19T00:00:00"/>
    <x v="1"/>
    <n v="5"/>
    <x v="1"/>
    <s v="No"/>
    <s v="-"/>
    <s v="No"/>
    <n v="0"/>
    <n v="0"/>
    <n v="5"/>
  </r>
  <r>
    <n v="3315"/>
    <x v="84"/>
    <x v="0"/>
    <d v="2024-05-20T00:00:00"/>
    <x v="0"/>
    <n v="15"/>
    <x v="0"/>
    <s v="Yes"/>
    <n v="30"/>
    <s v="Yes"/>
    <n v="20"/>
    <n v="20"/>
    <n v="45"/>
  </r>
  <r>
    <n v="3316"/>
    <x v="85"/>
    <x v="2"/>
    <d v="2024-05-21T00:00:00"/>
    <x v="1"/>
    <n v="10"/>
    <x v="2"/>
    <s v="No"/>
    <s v="-"/>
    <s v="Yes"/>
    <n v="20"/>
    <n v="15"/>
    <n v="15"/>
  </r>
  <r>
    <n v="3317"/>
    <x v="86"/>
    <x v="1"/>
    <d v="2024-05-22T00:00:00"/>
    <x v="0"/>
    <n v="5"/>
    <x v="0"/>
    <s v="No"/>
    <s v="-"/>
    <s v="No"/>
    <n v="0"/>
    <n v="1"/>
    <n v="4"/>
  </r>
  <r>
    <n v="3318"/>
    <x v="87"/>
    <x v="0"/>
    <d v="2024-05-23T00:00:00"/>
    <x v="1"/>
    <n v="15"/>
    <x v="1"/>
    <s v="Yes"/>
    <n v="30"/>
    <s v="Yes"/>
    <n v="20"/>
    <n v="3"/>
    <n v="62"/>
  </r>
  <r>
    <n v="3319"/>
    <x v="88"/>
    <x v="2"/>
    <d v="2024-05-24T00:00:00"/>
    <x v="0"/>
    <n v="10"/>
    <x v="0"/>
    <s v="No"/>
    <s v="-"/>
    <s v="Yes"/>
    <n v="20"/>
    <n v="10"/>
    <n v="20"/>
  </r>
  <r>
    <n v="3320"/>
    <x v="89"/>
    <x v="1"/>
    <d v="2024-05-25T00:00:00"/>
    <x v="1"/>
    <n v="5"/>
    <x v="2"/>
    <s v="No"/>
    <s v="-"/>
    <s v="No"/>
    <n v="0"/>
    <n v="0"/>
    <n v="5"/>
  </r>
  <r>
    <n v="3321"/>
    <x v="90"/>
    <x v="0"/>
    <d v="2024-05-26T00:00:00"/>
    <x v="0"/>
    <n v="15"/>
    <x v="0"/>
    <s v="Yes"/>
    <n v="30"/>
    <s v="Yes"/>
    <n v="20"/>
    <n v="5"/>
    <n v="60"/>
  </r>
  <r>
    <n v="3322"/>
    <x v="91"/>
    <x v="2"/>
    <d v="2024-05-27T00:00:00"/>
    <x v="1"/>
    <n v="10"/>
    <x v="1"/>
    <s v="No"/>
    <s v="-"/>
    <s v="Yes"/>
    <n v="20"/>
    <n v="15"/>
    <n v="15"/>
  </r>
  <r>
    <n v="3323"/>
    <x v="92"/>
    <x v="1"/>
    <d v="2024-05-28T00:00:00"/>
    <x v="0"/>
    <n v="5"/>
    <x v="0"/>
    <s v="No"/>
    <s v="-"/>
    <s v="No"/>
    <n v="0"/>
    <n v="1"/>
    <n v="4"/>
  </r>
  <r>
    <n v="3324"/>
    <x v="93"/>
    <x v="0"/>
    <d v="2024-05-29T00:00:00"/>
    <x v="1"/>
    <n v="15"/>
    <x v="2"/>
    <s v="Yes"/>
    <n v="30"/>
    <s v="Yes"/>
    <n v="20"/>
    <n v="20"/>
    <n v="45"/>
  </r>
  <r>
    <n v="3325"/>
    <x v="94"/>
    <x v="2"/>
    <d v="2024-05-30T00:00:00"/>
    <x v="0"/>
    <n v="10"/>
    <x v="2"/>
    <s v="No"/>
    <s v="-"/>
    <s v="Yes"/>
    <n v="20"/>
    <n v="15"/>
    <n v="15"/>
  </r>
  <r>
    <n v="3326"/>
    <x v="95"/>
    <x v="1"/>
    <d v="2024-05-31T00:00:00"/>
    <x v="1"/>
    <n v="5"/>
    <x v="1"/>
    <s v="No"/>
    <s v="-"/>
    <s v="No"/>
    <n v="0"/>
    <n v="0"/>
    <n v="5"/>
  </r>
  <r>
    <n v="3327"/>
    <x v="96"/>
    <x v="0"/>
    <d v="2024-06-01T00:00:00"/>
    <x v="0"/>
    <n v="15"/>
    <x v="0"/>
    <s v="Yes"/>
    <n v="30"/>
    <s v="Yes"/>
    <n v="20"/>
    <n v="7"/>
    <n v="58"/>
  </r>
  <r>
    <n v="3328"/>
    <x v="97"/>
    <x v="2"/>
    <d v="2024-06-02T00:00:00"/>
    <x v="1"/>
    <n v="10"/>
    <x v="1"/>
    <s v="No"/>
    <s v="-"/>
    <s v="Yes"/>
    <n v="20"/>
    <n v="10"/>
    <n v="20"/>
  </r>
  <r>
    <n v="3329"/>
    <x v="98"/>
    <x v="1"/>
    <d v="2024-06-03T00:00:00"/>
    <x v="0"/>
    <n v="5"/>
    <x v="2"/>
    <s v="No"/>
    <s v="-"/>
    <s v="No"/>
    <n v="0"/>
    <n v="1"/>
    <n v="4"/>
  </r>
  <r>
    <n v="3330"/>
    <x v="99"/>
    <x v="0"/>
    <d v="2024-06-04T00:00:00"/>
    <x v="1"/>
    <n v="15"/>
    <x v="0"/>
    <s v="Yes"/>
    <n v="30"/>
    <s v="Yes"/>
    <n v="20"/>
    <n v="15"/>
    <n v="50"/>
  </r>
  <r>
    <n v="3331"/>
    <x v="100"/>
    <x v="2"/>
    <d v="2024-06-05T00:00:00"/>
    <x v="0"/>
    <n v="10"/>
    <x v="0"/>
    <s v="No"/>
    <s v="-"/>
    <s v="Yes"/>
    <n v="20"/>
    <n v="5"/>
    <n v="25"/>
  </r>
  <r>
    <n v="3332"/>
    <x v="101"/>
    <x v="1"/>
    <d v="2024-06-06T00:00:00"/>
    <x v="1"/>
    <n v="5"/>
    <x v="1"/>
    <s v="No"/>
    <s v="-"/>
    <s v="No"/>
    <n v="0"/>
    <n v="0"/>
    <n v="5"/>
  </r>
  <r>
    <n v="3333"/>
    <x v="102"/>
    <x v="0"/>
    <d v="2024-06-07T00:00:00"/>
    <x v="0"/>
    <n v="15"/>
    <x v="2"/>
    <s v="Yes"/>
    <n v="30"/>
    <s v="Yes"/>
    <n v="20"/>
    <n v="20"/>
    <n v="45"/>
  </r>
  <r>
    <n v="3334"/>
    <x v="103"/>
    <x v="2"/>
    <d v="2024-06-08T00:00:00"/>
    <x v="1"/>
    <n v="10"/>
    <x v="2"/>
    <s v="No"/>
    <s v="-"/>
    <s v="Yes"/>
    <n v="20"/>
    <n v="12"/>
    <n v="18"/>
  </r>
  <r>
    <n v="3335"/>
    <x v="104"/>
    <x v="1"/>
    <d v="2024-06-09T00:00:00"/>
    <x v="0"/>
    <n v="5"/>
    <x v="0"/>
    <s v="No"/>
    <s v="-"/>
    <s v="No"/>
    <n v="0"/>
    <n v="2"/>
    <n v="3"/>
  </r>
  <r>
    <n v="3336"/>
    <x v="105"/>
    <x v="1"/>
    <d v="2024-06-10T00:00:00"/>
    <x v="0"/>
    <n v="5"/>
    <x v="0"/>
    <s v="No"/>
    <s v="-"/>
    <s v="No"/>
    <n v="0"/>
    <n v="0"/>
    <n v="5"/>
  </r>
  <r>
    <n v="3337"/>
    <x v="106"/>
    <x v="0"/>
    <d v="2024-06-11T00:00:00"/>
    <x v="1"/>
    <n v="15"/>
    <x v="2"/>
    <s v="Yes"/>
    <n v="30"/>
    <s v="Yes"/>
    <n v="20"/>
    <n v="7"/>
    <n v="58"/>
  </r>
  <r>
    <n v="3338"/>
    <x v="107"/>
    <x v="2"/>
    <d v="2024-06-12T00:00:00"/>
    <x v="0"/>
    <n v="10"/>
    <x v="1"/>
    <s v="No"/>
    <s v="-"/>
    <s v="Yes"/>
    <n v="20"/>
    <n v="10"/>
    <n v="20"/>
  </r>
  <r>
    <n v="3339"/>
    <x v="108"/>
    <x v="1"/>
    <d v="2024-06-13T00:00:00"/>
    <x v="1"/>
    <n v="5"/>
    <x v="2"/>
    <s v="No"/>
    <s v="-"/>
    <s v="No"/>
    <n v="0"/>
    <n v="1"/>
    <n v="4"/>
  </r>
  <r>
    <n v="3340"/>
    <x v="109"/>
    <x v="0"/>
    <d v="2024-06-14T00:00:00"/>
    <x v="0"/>
    <n v="15"/>
    <x v="0"/>
    <s v="Yes"/>
    <n v="30"/>
    <s v="Yes"/>
    <n v="20"/>
    <n v="15"/>
    <n v="50"/>
  </r>
  <r>
    <n v="3341"/>
    <x v="110"/>
    <x v="2"/>
    <d v="2024-06-15T00:00:00"/>
    <x v="1"/>
    <n v="10"/>
    <x v="0"/>
    <s v="No"/>
    <s v="-"/>
    <s v="Yes"/>
    <n v="20"/>
    <n v="5"/>
    <n v="25"/>
  </r>
  <r>
    <n v="3342"/>
    <x v="111"/>
    <x v="1"/>
    <d v="2024-06-16T00:00:00"/>
    <x v="0"/>
    <n v="5"/>
    <x v="1"/>
    <s v="No"/>
    <s v="-"/>
    <s v="No"/>
    <n v="0"/>
    <n v="0"/>
    <n v="5"/>
  </r>
  <r>
    <n v="3343"/>
    <x v="112"/>
    <x v="0"/>
    <d v="2024-06-17T00:00:00"/>
    <x v="1"/>
    <n v="15"/>
    <x v="2"/>
    <s v="Yes"/>
    <n v="30"/>
    <s v="Yes"/>
    <n v="20"/>
    <n v="20"/>
    <n v="45"/>
  </r>
  <r>
    <n v="3344"/>
    <x v="113"/>
    <x v="2"/>
    <d v="2024-06-18T00:00:00"/>
    <x v="0"/>
    <n v="10"/>
    <x v="2"/>
    <s v="No"/>
    <s v="-"/>
    <s v="Yes"/>
    <n v="20"/>
    <n v="12"/>
    <n v="18"/>
  </r>
  <r>
    <n v="3345"/>
    <x v="114"/>
    <x v="1"/>
    <d v="2024-06-19T00:00:00"/>
    <x v="1"/>
    <n v="5"/>
    <x v="0"/>
    <s v="No"/>
    <s v="-"/>
    <s v="No"/>
    <n v="0"/>
    <n v="2"/>
    <n v="3"/>
  </r>
  <r>
    <n v="3346"/>
    <x v="115"/>
    <x v="0"/>
    <d v="2024-06-20T00:00:00"/>
    <x v="0"/>
    <n v="15"/>
    <x v="1"/>
    <s v="Yes"/>
    <n v="30"/>
    <s v="Yes"/>
    <n v="20"/>
    <n v="5"/>
    <n v="60"/>
  </r>
  <r>
    <n v="3347"/>
    <x v="116"/>
    <x v="2"/>
    <d v="2024-06-21T00:00:00"/>
    <x v="1"/>
    <n v="10"/>
    <x v="0"/>
    <s v="No"/>
    <s v="-"/>
    <s v="Yes"/>
    <n v="20"/>
    <n v="10"/>
    <n v="20"/>
  </r>
  <r>
    <n v="3348"/>
    <x v="117"/>
    <x v="1"/>
    <d v="2024-06-22T00:00:00"/>
    <x v="0"/>
    <n v="5"/>
    <x v="2"/>
    <s v="No"/>
    <s v="-"/>
    <s v="No"/>
    <n v="0"/>
    <n v="0"/>
    <n v="5"/>
  </r>
  <r>
    <n v="3349"/>
    <x v="93"/>
    <x v="0"/>
    <d v="2024-06-23T00:00:00"/>
    <x v="1"/>
    <n v="15"/>
    <x v="0"/>
    <s v="Yes"/>
    <n v="30"/>
    <s v="Yes"/>
    <n v="20"/>
    <n v="3"/>
    <n v="62"/>
  </r>
  <r>
    <n v="3350"/>
    <x v="118"/>
    <x v="2"/>
    <d v="2024-06-24T00:00:00"/>
    <x v="0"/>
    <n v="10"/>
    <x v="1"/>
    <s v="No"/>
    <s v="-"/>
    <s v="Yes"/>
    <n v="20"/>
    <n v="15"/>
    <n v="15"/>
  </r>
  <r>
    <n v="3351"/>
    <x v="119"/>
    <x v="1"/>
    <d v="2024-06-25T00:00:00"/>
    <x v="1"/>
    <n v="5"/>
    <x v="0"/>
    <s v="No"/>
    <s v="-"/>
    <s v="No"/>
    <n v="0"/>
    <n v="1"/>
    <n v="4"/>
  </r>
  <r>
    <n v="3352"/>
    <x v="120"/>
    <x v="0"/>
    <d v="2024-06-26T00:00:00"/>
    <x v="0"/>
    <n v="15"/>
    <x v="2"/>
    <s v="Yes"/>
    <n v="30"/>
    <s v="Yes"/>
    <n v="20"/>
    <n v="7"/>
    <n v="58"/>
  </r>
  <r>
    <n v="3353"/>
    <x v="121"/>
    <x v="2"/>
    <d v="2024-06-27T00:00:00"/>
    <x v="1"/>
    <n v="10"/>
    <x v="0"/>
    <s v="No"/>
    <s v="-"/>
    <s v="Yes"/>
    <n v="20"/>
    <n v="10"/>
    <n v="20"/>
  </r>
  <r>
    <n v="3354"/>
    <x v="122"/>
    <x v="1"/>
    <d v="2024-06-28T00:00:00"/>
    <x v="0"/>
    <n v="5"/>
    <x v="1"/>
    <s v="No"/>
    <s v="-"/>
    <s v="No"/>
    <n v="0"/>
    <n v="0"/>
    <n v="5"/>
  </r>
  <r>
    <n v="3355"/>
    <x v="123"/>
    <x v="0"/>
    <d v="2024-06-29T00:00:00"/>
    <x v="1"/>
    <n v="15"/>
    <x v="0"/>
    <s v="Yes"/>
    <n v="30"/>
    <s v="Yes"/>
    <n v="20"/>
    <n v="20"/>
    <n v="45"/>
  </r>
  <r>
    <n v="3356"/>
    <x v="124"/>
    <x v="2"/>
    <d v="2024-06-30T00:00:00"/>
    <x v="0"/>
    <n v="10"/>
    <x v="2"/>
    <s v="No"/>
    <s v="-"/>
    <s v="Yes"/>
    <n v="20"/>
    <n v="15"/>
    <n v="15"/>
  </r>
  <r>
    <n v="3357"/>
    <x v="125"/>
    <x v="1"/>
    <d v="2024-07-01T00:00:00"/>
    <x v="1"/>
    <n v="5"/>
    <x v="0"/>
    <s v="No"/>
    <s v="-"/>
    <s v="No"/>
    <n v="0"/>
    <n v="1"/>
    <n v="4"/>
  </r>
  <r>
    <n v="3358"/>
    <x v="126"/>
    <x v="0"/>
    <d v="2024-07-02T00:00:00"/>
    <x v="0"/>
    <n v="15"/>
    <x v="1"/>
    <s v="Yes"/>
    <n v="30"/>
    <s v="Yes"/>
    <n v="20"/>
    <n v="3"/>
    <n v="62"/>
  </r>
  <r>
    <n v="3359"/>
    <x v="127"/>
    <x v="2"/>
    <d v="2024-07-03T00:00:00"/>
    <x v="1"/>
    <n v="10"/>
    <x v="0"/>
    <s v="No"/>
    <s v="-"/>
    <s v="Yes"/>
    <n v="20"/>
    <n v="10"/>
    <n v="20"/>
  </r>
  <r>
    <n v="3360"/>
    <x v="128"/>
    <x v="1"/>
    <d v="2024-07-04T00:00:00"/>
    <x v="0"/>
    <n v="5"/>
    <x v="2"/>
    <s v="No"/>
    <s v="-"/>
    <s v="No"/>
    <n v="0"/>
    <n v="0"/>
    <n v="5"/>
  </r>
  <r>
    <n v="3361"/>
    <x v="129"/>
    <x v="0"/>
    <d v="2024-07-05T00:00:00"/>
    <x v="1"/>
    <n v="15"/>
    <x v="0"/>
    <s v="Yes"/>
    <n v="30"/>
    <s v="Yes"/>
    <n v="20"/>
    <n v="15"/>
    <n v="50"/>
  </r>
  <r>
    <n v="3362"/>
    <x v="130"/>
    <x v="2"/>
    <d v="2024-07-06T00:00:00"/>
    <x v="0"/>
    <n v="10"/>
    <x v="1"/>
    <s v="No"/>
    <s v="-"/>
    <s v="Yes"/>
    <n v="20"/>
    <n v="15"/>
    <n v="15"/>
  </r>
  <r>
    <n v="3363"/>
    <x v="131"/>
    <x v="1"/>
    <d v="2024-07-07T00:00:00"/>
    <x v="1"/>
    <n v="5"/>
    <x v="0"/>
    <s v="No"/>
    <s v="-"/>
    <s v="No"/>
    <n v="0"/>
    <n v="1"/>
    <n v="4"/>
  </r>
  <r>
    <n v="3364"/>
    <x v="132"/>
    <x v="0"/>
    <d v="2024-07-08T00:00:00"/>
    <x v="0"/>
    <n v="15"/>
    <x v="2"/>
    <s v="Yes"/>
    <n v="30"/>
    <s v="Yes"/>
    <n v="20"/>
    <n v="7"/>
    <n v="58"/>
  </r>
  <r>
    <n v="3365"/>
    <x v="133"/>
    <x v="2"/>
    <d v="2024-07-09T00:00:00"/>
    <x v="1"/>
    <n v="10"/>
    <x v="0"/>
    <s v="No"/>
    <s v="-"/>
    <s v="Yes"/>
    <n v="20"/>
    <n v="10"/>
    <n v="20"/>
  </r>
  <r>
    <n v="3366"/>
    <x v="134"/>
    <x v="1"/>
    <d v="2024-07-10T00:00:00"/>
    <x v="0"/>
    <n v="5"/>
    <x v="0"/>
    <s v="No"/>
    <s v="-"/>
    <s v="No"/>
    <n v="0"/>
    <n v="0"/>
    <n v="5"/>
  </r>
  <r>
    <n v="3367"/>
    <x v="135"/>
    <x v="0"/>
    <d v="2024-07-11T00:00:00"/>
    <x v="1"/>
    <n v="15"/>
    <x v="2"/>
    <s v="Yes"/>
    <n v="30"/>
    <s v="Yes"/>
    <n v="20"/>
    <n v="7"/>
    <n v="58"/>
  </r>
  <r>
    <n v="3368"/>
    <x v="136"/>
    <x v="2"/>
    <d v="2024-07-12T00:00:00"/>
    <x v="0"/>
    <n v="10"/>
    <x v="1"/>
    <s v="No"/>
    <s v="-"/>
    <s v="Yes"/>
    <n v="20"/>
    <n v="10"/>
    <n v="20"/>
  </r>
  <r>
    <n v="3369"/>
    <x v="137"/>
    <x v="1"/>
    <d v="2024-07-13T00:00:00"/>
    <x v="1"/>
    <n v="5"/>
    <x v="2"/>
    <s v="No"/>
    <s v="-"/>
    <s v="No"/>
    <n v="0"/>
    <n v="1"/>
    <n v="4"/>
  </r>
  <r>
    <n v="3370"/>
    <x v="138"/>
    <x v="0"/>
    <d v="2024-07-14T00:00:00"/>
    <x v="0"/>
    <n v="15"/>
    <x v="0"/>
    <s v="Yes"/>
    <n v="30"/>
    <s v="Yes"/>
    <n v="20"/>
    <n v="15"/>
    <n v="50"/>
  </r>
  <r>
    <n v="3371"/>
    <x v="139"/>
    <x v="2"/>
    <d v="2024-07-15T00:00:00"/>
    <x v="1"/>
    <n v="10"/>
    <x v="0"/>
    <s v="No"/>
    <s v="-"/>
    <s v="Yes"/>
    <n v="20"/>
    <n v="5"/>
    <n v="25"/>
  </r>
  <r>
    <n v="3372"/>
    <x v="140"/>
    <x v="1"/>
    <d v="2024-07-16T00:00:00"/>
    <x v="0"/>
    <n v="5"/>
    <x v="1"/>
    <s v="No"/>
    <s v="-"/>
    <s v="No"/>
    <n v="0"/>
    <n v="0"/>
    <n v="5"/>
  </r>
  <r>
    <n v="3373"/>
    <x v="141"/>
    <x v="0"/>
    <d v="2024-07-17T00:00:00"/>
    <x v="1"/>
    <n v="15"/>
    <x v="2"/>
    <s v="Yes"/>
    <n v="30"/>
    <s v="Yes"/>
    <n v="20"/>
    <n v="20"/>
    <n v="45"/>
  </r>
  <r>
    <n v="3374"/>
    <x v="142"/>
    <x v="2"/>
    <d v="2024-07-18T00:00:00"/>
    <x v="0"/>
    <n v="10"/>
    <x v="2"/>
    <s v="No"/>
    <s v="-"/>
    <s v="Yes"/>
    <n v="20"/>
    <n v="12"/>
    <n v="18"/>
  </r>
  <r>
    <n v="3375"/>
    <x v="143"/>
    <x v="1"/>
    <d v="2024-07-19T00:00:00"/>
    <x v="1"/>
    <n v="5"/>
    <x v="0"/>
    <s v="No"/>
    <s v="-"/>
    <s v="No"/>
    <n v="0"/>
    <n v="2"/>
    <n v="3"/>
  </r>
  <r>
    <n v="3376"/>
    <x v="144"/>
    <x v="0"/>
    <d v="2024-07-20T00:00:00"/>
    <x v="0"/>
    <n v="15"/>
    <x v="1"/>
    <s v="Yes"/>
    <n v="30"/>
    <s v="Yes"/>
    <n v="20"/>
    <n v="5"/>
    <n v="60"/>
  </r>
  <r>
    <n v="3377"/>
    <x v="145"/>
    <x v="2"/>
    <d v="2024-07-21T00:00:00"/>
    <x v="1"/>
    <n v="10"/>
    <x v="0"/>
    <s v="No"/>
    <s v="-"/>
    <s v="Yes"/>
    <n v="20"/>
    <n v="10"/>
    <n v="20"/>
  </r>
  <r>
    <n v="3378"/>
    <x v="146"/>
    <x v="1"/>
    <d v="2024-07-22T00:00:00"/>
    <x v="0"/>
    <n v="5"/>
    <x v="2"/>
    <s v="No"/>
    <s v="-"/>
    <s v="No"/>
    <n v="0"/>
    <n v="0"/>
    <n v="5"/>
  </r>
  <r>
    <n v="3379"/>
    <x v="147"/>
    <x v="0"/>
    <d v="2024-07-23T00:00:00"/>
    <x v="1"/>
    <n v="15"/>
    <x v="0"/>
    <s v="Yes"/>
    <n v="30"/>
    <s v="Yes"/>
    <n v="20"/>
    <n v="3"/>
    <n v="62"/>
  </r>
  <r>
    <n v="3380"/>
    <x v="148"/>
    <x v="2"/>
    <d v="2024-07-24T00:00:00"/>
    <x v="0"/>
    <n v="10"/>
    <x v="1"/>
    <s v="No"/>
    <s v="-"/>
    <s v="Yes"/>
    <n v="20"/>
    <n v="15"/>
    <n v="15"/>
  </r>
  <r>
    <n v="3381"/>
    <x v="149"/>
    <x v="1"/>
    <d v="2024-07-25T00:00:00"/>
    <x v="1"/>
    <n v="5"/>
    <x v="0"/>
    <s v="No"/>
    <s v="-"/>
    <s v="No"/>
    <n v="0"/>
    <n v="1"/>
    <n v="4"/>
  </r>
  <r>
    <n v="3382"/>
    <x v="150"/>
    <x v="0"/>
    <d v="2024-07-26T00:00:00"/>
    <x v="0"/>
    <n v="15"/>
    <x v="2"/>
    <s v="Yes"/>
    <n v="30"/>
    <s v="Yes"/>
    <n v="20"/>
    <n v="7"/>
    <n v="58"/>
  </r>
  <r>
    <n v="3383"/>
    <x v="151"/>
    <x v="2"/>
    <d v="2024-07-27T00:00:00"/>
    <x v="1"/>
    <n v="10"/>
    <x v="0"/>
    <s v="No"/>
    <s v="-"/>
    <s v="Yes"/>
    <n v="20"/>
    <n v="10"/>
    <n v="20"/>
  </r>
  <r>
    <n v="3384"/>
    <x v="152"/>
    <x v="1"/>
    <d v="2024-07-28T00:00:00"/>
    <x v="0"/>
    <n v="5"/>
    <x v="1"/>
    <s v="No"/>
    <s v="-"/>
    <s v="No"/>
    <n v="0"/>
    <n v="0"/>
    <n v="5"/>
  </r>
  <r>
    <n v="3385"/>
    <x v="153"/>
    <x v="0"/>
    <d v="2024-07-29T00:00:00"/>
    <x v="1"/>
    <n v="15"/>
    <x v="0"/>
    <s v="Yes"/>
    <n v="30"/>
    <s v="Yes"/>
    <n v="20"/>
    <n v="20"/>
    <n v="45"/>
  </r>
  <r>
    <n v="3386"/>
    <x v="154"/>
    <x v="2"/>
    <d v="2024-07-30T00:00:00"/>
    <x v="0"/>
    <n v="10"/>
    <x v="2"/>
    <s v="No"/>
    <s v="-"/>
    <s v="Yes"/>
    <n v="20"/>
    <n v="15"/>
    <n v="15"/>
  </r>
  <r>
    <n v="3387"/>
    <x v="155"/>
    <x v="1"/>
    <d v="2024-07-31T00:00:00"/>
    <x v="1"/>
    <n v="5"/>
    <x v="0"/>
    <s v="No"/>
    <s v="-"/>
    <s v="No"/>
    <n v="0"/>
    <n v="1"/>
    <n v="4"/>
  </r>
  <r>
    <n v="3388"/>
    <x v="156"/>
    <x v="0"/>
    <d v="2024-08-01T00:00:00"/>
    <x v="0"/>
    <n v="15"/>
    <x v="1"/>
    <s v="Yes"/>
    <n v="30"/>
    <s v="Yes"/>
    <n v="20"/>
    <n v="3"/>
    <n v="62"/>
  </r>
  <r>
    <n v="3389"/>
    <x v="157"/>
    <x v="2"/>
    <d v="2024-08-02T00:00:00"/>
    <x v="1"/>
    <n v="10"/>
    <x v="0"/>
    <s v="No"/>
    <s v="-"/>
    <s v="Yes"/>
    <n v="20"/>
    <n v="10"/>
    <n v="20"/>
  </r>
  <r>
    <n v="3390"/>
    <x v="158"/>
    <x v="1"/>
    <d v="2024-08-03T00:00:00"/>
    <x v="0"/>
    <n v="5"/>
    <x v="2"/>
    <s v="No"/>
    <s v="-"/>
    <s v="No"/>
    <n v="0"/>
    <n v="0"/>
    <n v="5"/>
  </r>
  <r>
    <n v="3391"/>
    <x v="58"/>
    <x v="0"/>
    <d v="2024-08-04T00:00:00"/>
    <x v="1"/>
    <n v="15"/>
    <x v="0"/>
    <s v="Yes"/>
    <n v="30"/>
    <s v="Yes"/>
    <n v="20"/>
    <n v="15"/>
    <n v="50"/>
  </r>
  <r>
    <n v="3392"/>
    <x v="159"/>
    <x v="2"/>
    <d v="2024-08-05T00:00:00"/>
    <x v="0"/>
    <n v="10"/>
    <x v="1"/>
    <s v="No"/>
    <s v="-"/>
    <s v="Yes"/>
    <n v="20"/>
    <n v="15"/>
    <n v="15"/>
  </r>
  <r>
    <n v="3393"/>
    <x v="160"/>
    <x v="1"/>
    <d v="2024-08-06T00:00:00"/>
    <x v="1"/>
    <n v="5"/>
    <x v="0"/>
    <s v="No"/>
    <s v="-"/>
    <s v="No"/>
    <n v="0"/>
    <n v="1"/>
    <n v="4"/>
  </r>
  <r>
    <n v="3394"/>
    <x v="161"/>
    <x v="0"/>
    <d v="2024-08-07T00:00:00"/>
    <x v="0"/>
    <n v="15"/>
    <x v="2"/>
    <s v="Yes"/>
    <n v="30"/>
    <s v="Yes"/>
    <n v="20"/>
    <n v="7"/>
    <n v="58"/>
  </r>
  <r>
    <n v="3395"/>
    <x v="162"/>
    <x v="2"/>
    <d v="2024-08-08T00:00:00"/>
    <x v="1"/>
    <n v="10"/>
    <x v="0"/>
    <s v="No"/>
    <s v="-"/>
    <s v="Yes"/>
    <n v="20"/>
    <n v="10"/>
    <n v="20"/>
  </r>
  <r>
    <n v="3396"/>
    <x v="163"/>
    <x v="1"/>
    <d v="2024-08-09T00:00:00"/>
    <x v="0"/>
    <n v="5"/>
    <x v="1"/>
    <s v="No"/>
    <s v="-"/>
    <s v="No"/>
    <n v="0"/>
    <n v="0"/>
    <n v="5"/>
  </r>
  <r>
    <n v="3397"/>
    <x v="90"/>
    <x v="0"/>
    <d v="2024-08-10T00:00:00"/>
    <x v="1"/>
    <n v="15"/>
    <x v="0"/>
    <s v="Yes"/>
    <n v="30"/>
    <s v="Yes"/>
    <n v="20"/>
    <n v="20"/>
    <n v="45"/>
  </r>
  <r>
    <n v="3398"/>
    <x v="164"/>
    <x v="2"/>
    <d v="2024-08-11T00:00:00"/>
    <x v="0"/>
    <n v="10"/>
    <x v="2"/>
    <s v="No"/>
    <s v="-"/>
    <s v="Yes"/>
    <n v="20"/>
    <n v="15"/>
    <n v="15"/>
  </r>
  <r>
    <n v="3399"/>
    <x v="165"/>
    <x v="1"/>
    <d v="2024-08-12T00:00:00"/>
    <x v="1"/>
    <n v="5"/>
    <x v="0"/>
    <s v="No"/>
    <s v="-"/>
    <s v="No"/>
    <n v="0"/>
    <n v="1"/>
    <n v="4"/>
  </r>
  <r>
    <n v="3400"/>
    <x v="166"/>
    <x v="0"/>
    <d v="2024-08-13T00:00:00"/>
    <x v="0"/>
    <n v="15"/>
    <x v="1"/>
    <s v="Yes"/>
    <n v="30"/>
    <s v="Yes"/>
    <n v="20"/>
    <n v="5"/>
    <n v="60"/>
  </r>
  <r>
    <n v="3401"/>
    <x v="167"/>
    <x v="2"/>
    <d v="2024-08-14T00:00:00"/>
    <x v="1"/>
    <n v="10"/>
    <x v="0"/>
    <s v="No"/>
    <s v="-"/>
    <s v="Yes"/>
    <n v="20"/>
    <n v="10"/>
    <n v="20"/>
  </r>
  <r>
    <n v="3402"/>
    <x v="168"/>
    <x v="1"/>
    <d v="2024-08-15T00:00:00"/>
    <x v="0"/>
    <n v="5"/>
    <x v="2"/>
    <s v="No"/>
    <s v="-"/>
    <s v="No"/>
    <n v="0"/>
    <n v="0"/>
    <n v="5"/>
  </r>
  <r>
    <n v="3403"/>
    <x v="169"/>
    <x v="0"/>
    <d v="2024-08-16T00:00:00"/>
    <x v="1"/>
    <n v="15"/>
    <x v="0"/>
    <s v="Yes"/>
    <n v="30"/>
    <s v="Yes"/>
    <n v="20"/>
    <n v="3"/>
    <n v="62"/>
  </r>
  <r>
    <n v="3404"/>
    <x v="170"/>
    <x v="2"/>
    <d v="2024-08-17T00:00:00"/>
    <x v="0"/>
    <n v="10"/>
    <x v="1"/>
    <s v="No"/>
    <s v="-"/>
    <s v="Yes"/>
    <n v="20"/>
    <n v="15"/>
    <n v="15"/>
  </r>
  <r>
    <n v="3405"/>
    <x v="171"/>
    <x v="1"/>
    <d v="2024-08-18T00:00:00"/>
    <x v="1"/>
    <n v="5"/>
    <x v="0"/>
    <s v="No"/>
    <s v="-"/>
    <s v="No"/>
    <n v="0"/>
    <n v="1"/>
    <n v="4"/>
  </r>
  <r>
    <n v="3406"/>
    <x v="172"/>
    <x v="1"/>
    <d v="2024-08-19T00:00:00"/>
    <x v="0"/>
    <n v="5"/>
    <x v="0"/>
    <s v="No"/>
    <s v="-"/>
    <s v="No"/>
    <n v="0"/>
    <n v="0"/>
    <n v="5"/>
  </r>
  <r>
    <n v="3407"/>
    <x v="173"/>
    <x v="0"/>
    <d v="2024-08-20T00:00:00"/>
    <x v="1"/>
    <n v="15"/>
    <x v="2"/>
    <s v="Yes"/>
    <n v="30"/>
    <s v="Yes"/>
    <n v="20"/>
    <n v="7"/>
    <n v="58"/>
  </r>
  <r>
    <n v="3408"/>
    <x v="174"/>
    <x v="2"/>
    <d v="2024-08-21T00:00:00"/>
    <x v="0"/>
    <n v="10"/>
    <x v="1"/>
    <s v="No"/>
    <s v="-"/>
    <s v="Yes"/>
    <n v="20"/>
    <n v="10"/>
    <n v="20"/>
  </r>
  <r>
    <n v="3409"/>
    <x v="175"/>
    <x v="1"/>
    <d v="2024-08-22T00:00:00"/>
    <x v="1"/>
    <n v="5"/>
    <x v="2"/>
    <s v="No"/>
    <s v="-"/>
    <s v="No"/>
    <n v="0"/>
    <n v="1"/>
    <n v="4"/>
  </r>
  <r>
    <n v="3410"/>
    <x v="176"/>
    <x v="0"/>
    <d v="2024-08-23T00:00:00"/>
    <x v="0"/>
    <n v="15"/>
    <x v="0"/>
    <s v="Yes"/>
    <n v="30"/>
    <s v="Yes"/>
    <n v="20"/>
    <n v="15"/>
    <n v="50"/>
  </r>
  <r>
    <n v="3411"/>
    <x v="177"/>
    <x v="2"/>
    <d v="2024-08-24T00:00:00"/>
    <x v="1"/>
    <n v="10"/>
    <x v="0"/>
    <s v="No"/>
    <s v="-"/>
    <s v="Yes"/>
    <n v="20"/>
    <n v="5"/>
    <n v="25"/>
  </r>
  <r>
    <n v="3412"/>
    <x v="178"/>
    <x v="1"/>
    <d v="2024-08-25T00:00:00"/>
    <x v="0"/>
    <n v="5"/>
    <x v="1"/>
    <s v="No"/>
    <s v="-"/>
    <s v="No"/>
    <n v="0"/>
    <n v="0"/>
    <n v="5"/>
  </r>
  <r>
    <n v="3413"/>
    <x v="179"/>
    <x v="0"/>
    <d v="2024-08-26T00:00:00"/>
    <x v="1"/>
    <n v="15"/>
    <x v="2"/>
    <s v="Yes"/>
    <n v="30"/>
    <s v="Yes"/>
    <n v="20"/>
    <n v="20"/>
    <n v="45"/>
  </r>
  <r>
    <n v="3414"/>
    <x v="180"/>
    <x v="2"/>
    <d v="2024-08-27T00:00:00"/>
    <x v="0"/>
    <n v="10"/>
    <x v="2"/>
    <s v="No"/>
    <s v="-"/>
    <s v="Yes"/>
    <n v="20"/>
    <n v="12"/>
    <n v="18"/>
  </r>
  <r>
    <n v="3415"/>
    <x v="181"/>
    <x v="1"/>
    <d v="2024-08-28T00:00:00"/>
    <x v="1"/>
    <n v="5"/>
    <x v="0"/>
    <s v="No"/>
    <s v="-"/>
    <s v="No"/>
    <n v="0"/>
    <n v="2"/>
    <n v="3"/>
  </r>
  <r>
    <n v="3416"/>
    <x v="182"/>
    <x v="0"/>
    <d v="2024-08-29T00:00:00"/>
    <x v="0"/>
    <n v="15"/>
    <x v="1"/>
    <s v="Yes"/>
    <n v="30"/>
    <s v="Yes"/>
    <n v="20"/>
    <n v="5"/>
    <n v="60"/>
  </r>
  <r>
    <n v="3417"/>
    <x v="183"/>
    <x v="2"/>
    <d v="2024-08-30T00:00:00"/>
    <x v="1"/>
    <n v="10"/>
    <x v="0"/>
    <s v="No"/>
    <s v="-"/>
    <s v="Yes"/>
    <n v="20"/>
    <n v="10"/>
    <n v="20"/>
  </r>
  <r>
    <n v="3418"/>
    <x v="184"/>
    <x v="1"/>
    <d v="2024-08-31T00:00:00"/>
    <x v="0"/>
    <n v="5"/>
    <x v="2"/>
    <s v="No"/>
    <s v="-"/>
    <s v="No"/>
    <n v="0"/>
    <n v="0"/>
    <n v="5"/>
  </r>
  <r>
    <n v="3419"/>
    <x v="185"/>
    <x v="0"/>
    <d v="2024-09-01T00:00:00"/>
    <x v="1"/>
    <n v="15"/>
    <x v="0"/>
    <s v="Yes"/>
    <n v="30"/>
    <s v="Yes"/>
    <n v="20"/>
    <n v="3"/>
    <n v="62"/>
  </r>
  <r>
    <n v="3420"/>
    <x v="186"/>
    <x v="2"/>
    <d v="2024-09-02T00:00:00"/>
    <x v="0"/>
    <n v="10"/>
    <x v="1"/>
    <s v="No"/>
    <s v="-"/>
    <s v="Yes"/>
    <n v="20"/>
    <n v="15"/>
    <n v="15"/>
  </r>
  <r>
    <n v="3421"/>
    <x v="15"/>
    <x v="1"/>
    <d v="2024-09-03T00:00:00"/>
    <x v="1"/>
    <n v="5"/>
    <x v="0"/>
    <s v="No"/>
    <s v="-"/>
    <s v="No"/>
    <n v="0"/>
    <n v="1"/>
    <n v="4"/>
  </r>
  <r>
    <n v="3422"/>
    <x v="187"/>
    <x v="0"/>
    <d v="2024-09-04T00:00:00"/>
    <x v="0"/>
    <n v="15"/>
    <x v="2"/>
    <s v="Yes"/>
    <n v="30"/>
    <s v="Yes"/>
    <n v="20"/>
    <n v="7"/>
    <n v="58"/>
  </r>
  <r>
    <n v="3423"/>
    <x v="188"/>
    <x v="2"/>
    <d v="2024-09-05T00:00:00"/>
    <x v="1"/>
    <n v="10"/>
    <x v="0"/>
    <s v="No"/>
    <s v="-"/>
    <s v="Yes"/>
    <n v="20"/>
    <n v="10"/>
    <n v="20"/>
  </r>
  <r>
    <n v="3424"/>
    <x v="14"/>
    <x v="1"/>
    <d v="2024-09-06T00:00:00"/>
    <x v="0"/>
    <n v="5"/>
    <x v="1"/>
    <s v="No"/>
    <s v="-"/>
    <s v="No"/>
    <n v="0"/>
    <n v="0"/>
    <n v="5"/>
  </r>
  <r>
    <n v="3425"/>
    <x v="189"/>
    <x v="0"/>
    <d v="2024-09-07T00:00:00"/>
    <x v="1"/>
    <n v="15"/>
    <x v="0"/>
    <s v="Yes"/>
    <n v="30"/>
    <s v="Yes"/>
    <n v="20"/>
    <n v="20"/>
    <n v="45"/>
  </r>
  <r>
    <n v="3426"/>
    <x v="167"/>
    <x v="2"/>
    <d v="2024-09-08T00:00:00"/>
    <x v="0"/>
    <n v="10"/>
    <x v="2"/>
    <s v="No"/>
    <s v="-"/>
    <s v="Yes"/>
    <n v="20"/>
    <n v="15"/>
    <n v="15"/>
  </r>
  <r>
    <n v="3427"/>
    <x v="190"/>
    <x v="1"/>
    <d v="2024-09-09T00:00:00"/>
    <x v="1"/>
    <n v="5"/>
    <x v="0"/>
    <s v="No"/>
    <s v="-"/>
    <s v="No"/>
    <n v="0"/>
    <n v="1"/>
    <n v="4"/>
  </r>
  <r>
    <n v="3428"/>
    <x v="191"/>
    <x v="0"/>
    <d v="2024-09-10T00:00:00"/>
    <x v="0"/>
    <n v="15"/>
    <x v="1"/>
    <s v="Yes"/>
    <n v="30"/>
    <s v="Yes"/>
    <n v="20"/>
    <n v="3"/>
    <n v="62"/>
  </r>
  <r>
    <n v="3429"/>
    <x v="192"/>
    <x v="2"/>
    <d v="2024-09-11T00:00:00"/>
    <x v="1"/>
    <n v="10"/>
    <x v="0"/>
    <s v="No"/>
    <s v="-"/>
    <s v="Yes"/>
    <n v="20"/>
    <n v="10"/>
    <n v="20"/>
  </r>
  <r>
    <n v="3430"/>
    <x v="193"/>
    <x v="1"/>
    <d v="2024-09-12T00:00:00"/>
    <x v="0"/>
    <n v="5"/>
    <x v="2"/>
    <s v="No"/>
    <s v="-"/>
    <s v="No"/>
    <n v="0"/>
    <n v="0"/>
    <n v="5"/>
  </r>
  <r>
    <n v="3431"/>
    <x v="194"/>
    <x v="0"/>
    <d v="2024-09-13T00:00:00"/>
    <x v="1"/>
    <n v="15"/>
    <x v="0"/>
    <s v="Yes"/>
    <n v="30"/>
    <s v="Yes"/>
    <n v="20"/>
    <n v="15"/>
    <n v="50"/>
  </r>
  <r>
    <n v="3432"/>
    <x v="195"/>
    <x v="2"/>
    <d v="2024-09-14T00:00:00"/>
    <x v="0"/>
    <n v="10"/>
    <x v="1"/>
    <s v="No"/>
    <s v="-"/>
    <s v="Yes"/>
    <n v="20"/>
    <n v="15"/>
    <n v="15"/>
  </r>
  <r>
    <n v="3433"/>
    <x v="196"/>
    <x v="1"/>
    <d v="2024-09-15T00:00:00"/>
    <x v="1"/>
    <n v="5"/>
    <x v="0"/>
    <s v="No"/>
    <s v="-"/>
    <s v="No"/>
    <n v="0"/>
    <n v="1"/>
    <n v="4"/>
  </r>
  <r>
    <n v="3434"/>
    <x v="197"/>
    <x v="0"/>
    <d v="2024-09-16T00:00:00"/>
    <x v="0"/>
    <n v="15"/>
    <x v="2"/>
    <s v="Yes"/>
    <n v="30"/>
    <s v="Yes"/>
    <n v="20"/>
    <n v="7"/>
    <n v="58"/>
  </r>
  <r>
    <n v="3435"/>
    <x v="198"/>
    <x v="2"/>
    <d v="2024-09-17T00:00:00"/>
    <x v="1"/>
    <n v="10"/>
    <x v="0"/>
    <s v="No"/>
    <s v="-"/>
    <s v="Yes"/>
    <n v="20"/>
    <n v="10"/>
    <n v="20"/>
  </r>
  <r>
    <n v="3436"/>
    <x v="199"/>
    <x v="1"/>
    <d v="2024-09-18T00:00:00"/>
    <x v="0"/>
    <n v="5"/>
    <x v="0"/>
    <s v="No"/>
    <s v="-"/>
    <s v="No"/>
    <n v="0"/>
    <n v="0"/>
    <n v="5"/>
  </r>
  <r>
    <n v="3437"/>
    <x v="200"/>
    <x v="0"/>
    <d v="2024-09-19T00:00:00"/>
    <x v="1"/>
    <n v="15"/>
    <x v="2"/>
    <s v="Yes"/>
    <n v="30"/>
    <s v="Yes"/>
    <n v="20"/>
    <n v="7"/>
    <n v="58"/>
  </r>
  <r>
    <n v="3438"/>
    <x v="201"/>
    <x v="2"/>
    <d v="2024-09-20T00:00:00"/>
    <x v="0"/>
    <n v="10"/>
    <x v="1"/>
    <s v="No"/>
    <s v="-"/>
    <s v="Yes"/>
    <n v="20"/>
    <n v="10"/>
    <n v="20"/>
  </r>
  <r>
    <n v="3439"/>
    <x v="202"/>
    <x v="1"/>
    <d v="2024-09-21T00:00:00"/>
    <x v="1"/>
    <n v="5"/>
    <x v="2"/>
    <s v="No"/>
    <s v="-"/>
    <s v="No"/>
    <n v="0"/>
    <n v="1"/>
    <n v="4"/>
  </r>
  <r>
    <n v="3440"/>
    <x v="203"/>
    <x v="0"/>
    <d v="2024-09-22T00:00:00"/>
    <x v="0"/>
    <n v="15"/>
    <x v="0"/>
    <s v="Yes"/>
    <n v="30"/>
    <s v="Yes"/>
    <n v="20"/>
    <n v="15"/>
    <n v="50"/>
  </r>
  <r>
    <n v="3441"/>
    <x v="204"/>
    <x v="2"/>
    <d v="2024-09-23T00:00:00"/>
    <x v="1"/>
    <n v="10"/>
    <x v="0"/>
    <s v="No"/>
    <s v="-"/>
    <s v="Yes"/>
    <n v="20"/>
    <n v="5"/>
    <n v="25"/>
  </r>
  <r>
    <n v="3442"/>
    <x v="205"/>
    <x v="1"/>
    <d v="2024-09-24T00:00:00"/>
    <x v="0"/>
    <n v="5"/>
    <x v="1"/>
    <s v="No"/>
    <s v="-"/>
    <s v="No"/>
    <n v="0"/>
    <n v="0"/>
    <n v="5"/>
  </r>
  <r>
    <n v="3443"/>
    <x v="206"/>
    <x v="0"/>
    <d v="2024-09-25T00:00:00"/>
    <x v="1"/>
    <n v="15"/>
    <x v="2"/>
    <s v="Yes"/>
    <n v="30"/>
    <s v="Yes"/>
    <n v="20"/>
    <n v="20"/>
    <n v="45"/>
  </r>
  <r>
    <n v="3444"/>
    <x v="207"/>
    <x v="2"/>
    <d v="2024-09-26T00:00:00"/>
    <x v="0"/>
    <n v="10"/>
    <x v="2"/>
    <s v="No"/>
    <s v="-"/>
    <s v="Yes"/>
    <n v="20"/>
    <n v="12"/>
    <n v="18"/>
  </r>
  <r>
    <n v="3445"/>
    <x v="37"/>
    <x v="1"/>
    <d v="2024-09-27T00:00:00"/>
    <x v="1"/>
    <n v="5"/>
    <x v="0"/>
    <s v="No"/>
    <s v="-"/>
    <s v="No"/>
    <n v="0"/>
    <n v="2"/>
    <n v="3"/>
  </r>
  <r>
    <n v="3446"/>
    <x v="208"/>
    <x v="0"/>
    <d v="2024-09-28T00:00:00"/>
    <x v="0"/>
    <n v="15"/>
    <x v="1"/>
    <s v="Yes"/>
    <n v="30"/>
    <s v="Yes"/>
    <n v="20"/>
    <n v="5"/>
    <n v="60"/>
  </r>
  <r>
    <n v="3447"/>
    <x v="209"/>
    <x v="2"/>
    <d v="2024-09-29T00:00:00"/>
    <x v="1"/>
    <n v="10"/>
    <x v="0"/>
    <s v="No"/>
    <s v="-"/>
    <s v="Yes"/>
    <n v="20"/>
    <n v="10"/>
    <n v="20"/>
  </r>
  <r>
    <n v="3448"/>
    <x v="210"/>
    <x v="1"/>
    <d v="2024-09-30T00:00:00"/>
    <x v="0"/>
    <n v="5"/>
    <x v="2"/>
    <s v="No"/>
    <s v="-"/>
    <s v="No"/>
    <n v="0"/>
    <n v="0"/>
    <n v="5"/>
  </r>
  <r>
    <n v="3449"/>
    <x v="211"/>
    <x v="0"/>
    <d v="2024-10-01T00:00:00"/>
    <x v="1"/>
    <n v="15"/>
    <x v="0"/>
    <s v="Yes"/>
    <n v="30"/>
    <s v="Yes"/>
    <n v="20"/>
    <n v="3"/>
    <n v="62"/>
  </r>
  <r>
    <n v="3450"/>
    <x v="212"/>
    <x v="2"/>
    <d v="2024-10-02T00:00:00"/>
    <x v="0"/>
    <n v="10"/>
    <x v="1"/>
    <s v="No"/>
    <s v="-"/>
    <s v="Yes"/>
    <n v="20"/>
    <n v="15"/>
    <n v="15"/>
  </r>
  <r>
    <n v="3451"/>
    <x v="213"/>
    <x v="1"/>
    <d v="2024-10-03T00:00:00"/>
    <x v="1"/>
    <n v="5"/>
    <x v="0"/>
    <s v="No"/>
    <s v="-"/>
    <s v="No"/>
    <n v="0"/>
    <n v="1"/>
    <n v="4"/>
  </r>
  <r>
    <n v="3452"/>
    <x v="191"/>
    <x v="0"/>
    <d v="2024-10-04T00:00:00"/>
    <x v="0"/>
    <n v="15"/>
    <x v="2"/>
    <s v="Yes"/>
    <n v="30"/>
    <s v="Yes"/>
    <n v="20"/>
    <n v="7"/>
    <n v="58"/>
  </r>
  <r>
    <n v="3453"/>
    <x v="45"/>
    <x v="2"/>
    <d v="2024-10-05T00:00:00"/>
    <x v="1"/>
    <n v="10"/>
    <x v="0"/>
    <s v="No"/>
    <s v="-"/>
    <s v="Yes"/>
    <n v="20"/>
    <n v="10"/>
    <n v="20"/>
  </r>
  <r>
    <n v="3454"/>
    <x v="214"/>
    <x v="1"/>
    <d v="2024-10-06T00:00:00"/>
    <x v="0"/>
    <n v="5"/>
    <x v="1"/>
    <s v="No"/>
    <s v="-"/>
    <s v="No"/>
    <n v="0"/>
    <n v="0"/>
    <n v="5"/>
  </r>
  <r>
    <n v="3455"/>
    <x v="215"/>
    <x v="0"/>
    <d v="2024-10-07T00:00:00"/>
    <x v="1"/>
    <n v="15"/>
    <x v="0"/>
    <s v="Yes"/>
    <n v="30"/>
    <s v="Yes"/>
    <n v="20"/>
    <n v="20"/>
    <n v="45"/>
  </r>
  <r>
    <n v="3456"/>
    <x v="216"/>
    <x v="2"/>
    <d v="2024-10-08T00:00:00"/>
    <x v="0"/>
    <n v="10"/>
    <x v="2"/>
    <s v="No"/>
    <s v="-"/>
    <s v="Yes"/>
    <n v="20"/>
    <n v="15"/>
    <n v="15"/>
  </r>
  <r>
    <n v="3457"/>
    <x v="217"/>
    <x v="1"/>
    <d v="2024-10-09T00:00:00"/>
    <x v="1"/>
    <n v="5"/>
    <x v="0"/>
    <s v="No"/>
    <s v="-"/>
    <s v="No"/>
    <n v="0"/>
    <n v="1"/>
    <n v="4"/>
  </r>
  <r>
    <n v="3458"/>
    <x v="218"/>
    <x v="0"/>
    <d v="2024-10-10T00:00:00"/>
    <x v="0"/>
    <n v="15"/>
    <x v="1"/>
    <s v="Yes"/>
    <n v="30"/>
    <s v="Yes"/>
    <n v="20"/>
    <n v="3"/>
    <n v="62"/>
  </r>
  <r>
    <n v="3459"/>
    <x v="219"/>
    <x v="2"/>
    <d v="2024-10-11T00:00:00"/>
    <x v="1"/>
    <n v="10"/>
    <x v="0"/>
    <s v="No"/>
    <s v="-"/>
    <s v="Yes"/>
    <n v="20"/>
    <n v="10"/>
    <n v="20"/>
  </r>
  <r>
    <n v="3460"/>
    <x v="127"/>
    <x v="1"/>
    <d v="2024-10-12T00:00:00"/>
    <x v="0"/>
    <n v="5"/>
    <x v="2"/>
    <s v="No"/>
    <s v="-"/>
    <s v="No"/>
    <n v="0"/>
    <n v="0"/>
    <n v="5"/>
  </r>
  <r>
    <n v="3461"/>
    <x v="220"/>
    <x v="0"/>
    <d v="2024-10-13T00:00:00"/>
    <x v="1"/>
    <n v="15"/>
    <x v="0"/>
    <s v="Yes"/>
    <n v="30"/>
    <s v="Yes"/>
    <n v="20"/>
    <n v="15"/>
    <n v="50"/>
  </r>
  <r>
    <n v="3462"/>
    <x v="221"/>
    <x v="2"/>
    <d v="2024-10-14T00:00:00"/>
    <x v="0"/>
    <n v="10"/>
    <x v="1"/>
    <s v="No"/>
    <s v="-"/>
    <s v="Yes"/>
    <n v="20"/>
    <n v="15"/>
    <n v="15"/>
  </r>
  <r>
    <n v="3463"/>
    <x v="222"/>
    <x v="1"/>
    <d v="2024-10-15T00:00:00"/>
    <x v="1"/>
    <n v="5"/>
    <x v="0"/>
    <s v="No"/>
    <s v="-"/>
    <s v="No"/>
    <n v="0"/>
    <n v="1"/>
    <n v="4"/>
  </r>
  <r>
    <n v="3464"/>
    <x v="223"/>
    <x v="0"/>
    <d v="2024-10-16T00:00:00"/>
    <x v="0"/>
    <n v="15"/>
    <x v="2"/>
    <s v="Yes"/>
    <n v="30"/>
    <s v="Yes"/>
    <n v="20"/>
    <n v="7"/>
    <n v="58"/>
  </r>
  <r>
    <n v="3465"/>
    <x v="224"/>
    <x v="2"/>
    <d v="2024-10-17T00:00:00"/>
    <x v="1"/>
    <n v="10"/>
    <x v="0"/>
    <s v="No"/>
    <s v="-"/>
    <s v="Yes"/>
    <n v="20"/>
    <n v="10"/>
    <n v="20"/>
  </r>
  <r>
    <n v="3466"/>
    <x v="225"/>
    <x v="1"/>
    <d v="2024-10-18T00:00:00"/>
    <x v="0"/>
    <n v="5"/>
    <x v="1"/>
    <s v="No"/>
    <s v="-"/>
    <s v="No"/>
    <n v="0"/>
    <n v="0"/>
    <n v="5"/>
  </r>
  <r>
    <n v="3467"/>
    <x v="226"/>
    <x v="0"/>
    <d v="2024-10-19T00:00:00"/>
    <x v="1"/>
    <n v="15"/>
    <x v="0"/>
    <s v="Yes"/>
    <n v="30"/>
    <s v="Yes"/>
    <n v="20"/>
    <n v="15"/>
    <n v="50"/>
  </r>
  <r>
    <n v="3468"/>
    <x v="227"/>
    <x v="2"/>
    <d v="2024-10-20T00:00:00"/>
    <x v="0"/>
    <n v="10"/>
    <x v="2"/>
    <s v="No"/>
    <s v="-"/>
    <s v="Yes"/>
    <n v="20"/>
    <n v="12"/>
    <n v="18"/>
  </r>
  <r>
    <n v="3469"/>
    <x v="228"/>
    <x v="1"/>
    <d v="2024-10-21T00:00:00"/>
    <x v="1"/>
    <n v="5"/>
    <x v="0"/>
    <s v="No"/>
    <s v="-"/>
    <s v="No"/>
    <n v="0"/>
    <n v="2"/>
    <n v="3"/>
  </r>
  <r>
    <n v="3470"/>
    <x v="229"/>
    <x v="0"/>
    <d v="2024-10-22T00:00:00"/>
    <x v="0"/>
    <n v="15"/>
    <x v="1"/>
    <s v="Yes"/>
    <n v="30"/>
    <s v="Yes"/>
    <n v="20"/>
    <n v="5"/>
    <n v="60"/>
  </r>
  <r>
    <n v="3471"/>
    <x v="230"/>
    <x v="2"/>
    <d v="2024-10-23T00:00:00"/>
    <x v="1"/>
    <n v="10"/>
    <x v="0"/>
    <s v="No"/>
    <s v="-"/>
    <s v="Yes"/>
    <n v="20"/>
    <n v="10"/>
    <n v="20"/>
  </r>
  <r>
    <n v="3472"/>
    <x v="231"/>
    <x v="1"/>
    <d v="2024-10-24T00:00:00"/>
    <x v="0"/>
    <n v="5"/>
    <x v="2"/>
    <s v="No"/>
    <s v="-"/>
    <s v="No"/>
    <n v="0"/>
    <n v="0"/>
    <n v="5"/>
  </r>
  <r>
    <n v="3473"/>
    <x v="140"/>
    <x v="0"/>
    <d v="2024-10-25T00:00:00"/>
    <x v="1"/>
    <n v="15"/>
    <x v="0"/>
    <s v="Yes"/>
    <n v="30"/>
    <s v="Yes"/>
    <n v="20"/>
    <n v="3"/>
    <n v="62"/>
  </r>
  <r>
    <n v="3474"/>
    <x v="232"/>
    <x v="2"/>
    <d v="2024-10-26T00:00:00"/>
    <x v="0"/>
    <n v="10"/>
    <x v="1"/>
    <s v="No"/>
    <s v="-"/>
    <s v="Yes"/>
    <n v="20"/>
    <n v="15"/>
    <n v="15"/>
  </r>
  <r>
    <n v="3475"/>
    <x v="233"/>
    <x v="1"/>
    <d v="2024-10-27T00:00:00"/>
    <x v="1"/>
    <n v="5"/>
    <x v="0"/>
    <s v="No"/>
    <s v="-"/>
    <s v="No"/>
    <n v="0"/>
    <n v="1"/>
    <n v="4"/>
  </r>
  <r>
    <n v="3476"/>
    <x v="234"/>
    <x v="0"/>
    <d v="2024-10-28T00:00:00"/>
    <x v="0"/>
    <n v="15"/>
    <x v="2"/>
    <s v="Yes"/>
    <n v="30"/>
    <s v="Yes"/>
    <n v="20"/>
    <n v="7"/>
    <n v="58"/>
  </r>
  <r>
    <n v="3477"/>
    <x v="235"/>
    <x v="2"/>
    <d v="2024-10-29T00:00:00"/>
    <x v="1"/>
    <n v="10"/>
    <x v="0"/>
    <s v="No"/>
    <s v="-"/>
    <s v="Yes"/>
    <n v="20"/>
    <n v="10"/>
    <n v="20"/>
  </r>
  <r>
    <n v="3478"/>
    <x v="236"/>
    <x v="1"/>
    <d v="2024-10-30T00:00:00"/>
    <x v="0"/>
    <n v="5"/>
    <x v="1"/>
    <s v="No"/>
    <s v="-"/>
    <s v="No"/>
    <n v="0"/>
    <n v="0"/>
    <n v="5"/>
  </r>
  <r>
    <n v="3479"/>
    <x v="237"/>
    <x v="0"/>
    <d v="2024-10-31T00:00:00"/>
    <x v="1"/>
    <n v="15"/>
    <x v="0"/>
    <s v="Yes"/>
    <n v="30"/>
    <s v="Yes"/>
    <n v="20"/>
    <n v="20"/>
    <n v="45"/>
  </r>
  <r>
    <n v="3480"/>
    <x v="238"/>
    <x v="2"/>
    <d v="2024-11-01T00:00:00"/>
    <x v="0"/>
    <n v="10"/>
    <x v="2"/>
    <s v="No"/>
    <s v="-"/>
    <s v="Yes"/>
    <n v="20"/>
    <n v="15"/>
    <n v="15"/>
  </r>
  <r>
    <n v="3481"/>
    <x v="239"/>
    <x v="1"/>
    <d v="2024-11-02T00:00:00"/>
    <x v="1"/>
    <n v="5"/>
    <x v="0"/>
    <s v="No"/>
    <s v="-"/>
    <s v="No"/>
    <n v="0"/>
    <n v="1"/>
    <n v="4"/>
  </r>
  <r>
    <n v="3482"/>
    <x v="240"/>
    <x v="0"/>
    <d v="2024-11-03T00:00:00"/>
    <x v="0"/>
    <n v="15"/>
    <x v="1"/>
    <s v="Yes"/>
    <n v="30"/>
    <s v="Yes"/>
    <n v="20"/>
    <n v="3"/>
    <n v="62"/>
  </r>
  <r>
    <n v="3483"/>
    <x v="241"/>
    <x v="2"/>
    <d v="2024-11-04T00:00:00"/>
    <x v="1"/>
    <n v="10"/>
    <x v="0"/>
    <s v="No"/>
    <s v="-"/>
    <s v="Yes"/>
    <n v="20"/>
    <n v="10"/>
    <n v="20"/>
  </r>
  <r>
    <n v="3484"/>
    <x v="242"/>
    <x v="1"/>
    <d v="2024-11-05T00:00:00"/>
    <x v="0"/>
    <n v="5"/>
    <x v="2"/>
    <s v="No"/>
    <s v="-"/>
    <s v="No"/>
    <n v="0"/>
    <n v="0"/>
    <n v="5"/>
  </r>
  <r>
    <n v="3485"/>
    <x v="243"/>
    <x v="0"/>
    <d v="2024-11-06T00:00:00"/>
    <x v="1"/>
    <n v="15"/>
    <x v="0"/>
    <s v="Yes"/>
    <n v="30"/>
    <s v="Yes"/>
    <n v="20"/>
    <n v="15"/>
    <n v="50"/>
  </r>
  <r>
    <n v="3486"/>
    <x v="244"/>
    <x v="1"/>
    <d v="2024-11-07T00:00:00"/>
    <x v="0"/>
    <n v="5"/>
    <x v="0"/>
    <s v="No"/>
    <s v="-"/>
    <s v="No"/>
    <n v="0"/>
    <n v="0"/>
    <n v="5"/>
  </r>
  <r>
    <n v="3487"/>
    <x v="245"/>
    <x v="0"/>
    <d v="2024-11-08T00:00:00"/>
    <x v="1"/>
    <n v="15"/>
    <x v="2"/>
    <s v="Yes"/>
    <n v="30"/>
    <s v="Yes"/>
    <n v="20"/>
    <n v="7"/>
    <n v="58"/>
  </r>
  <r>
    <n v="3488"/>
    <x v="246"/>
    <x v="2"/>
    <d v="2024-11-09T00:00:00"/>
    <x v="0"/>
    <n v="10"/>
    <x v="1"/>
    <s v="No"/>
    <s v="-"/>
    <s v="Yes"/>
    <n v="20"/>
    <n v="10"/>
    <n v="20"/>
  </r>
  <r>
    <n v="3489"/>
    <x v="247"/>
    <x v="1"/>
    <d v="2024-11-10T00:00:00"/>
    <x v="1"/>
    <n v="5"/>
    <x v="2"/>
    <s v="No"/>
    <s v="-"/>
    <s v="No"/>
    <n v="0"/>
    <n v="1"/>
    <n v="4"/>
  </r>
  <r>
    <n v="3490"/>
    <x v="248"/>
    <x v="0"/>
    <d v="2024-11-11T00:00:00"/>
    <x v="0"/>
    <n v="15"/>
    <x v="0"/>
    <s v="Yes"/>
    <n v="30"/>
    <s v="Yes"/>
    <n v="20"/>
    <n v="15"/>
    <n v="50"/>
  </r>
  <r>
    <n v="3491"/>
    <x v="249"/>
    <x v="2"/>
    <d v="2024-11-12T00:00:00"/>
    <x v="1"/>
    <n v="10"/>
    <x v="0"/>
    <s v="No"/>
    <s v="-"/>
    <s v="Yes"/>
    <n v="20"/>
    <n v="5"/>
    <n v="25"/>
  </r>
  <r>
    <n v="3492"/>
    <x v="250"/>
    <x v="1"/>
    <d v="2024-11-13T00:00:00"/>
    <x v="0"/>
    <n v="5"/>
    <x v="1"/>
    <s v="No"/>
    <s v="-"/>
    <s v="No"/>
    <n v="0"/>
    <n v="0"/>
    <n v="5"/>
  </r>
  <r>
    <n v="3493"/>
    <x v="251"/>
    <x v="0"/>
    <d v="2024-11-14T00:00:00"/>
    <x v="1"/>
    <n v="15"/>
    <x v="2"/>
    <s v="Yes"/>
    <n v="30"/>
    <s v="Yes"/>
    <n v="20"/>
    <n v="20"/>
    <n v="45"/>
  </r>
  <r>
    <n v="3494"/>
    <x v="252"/>
    <x v="2"/>
    <d v="2024-11-15T00:00:00"/>
    <x v="0"/>
    <n v="10"/>
    <x v="2"/>
    <s v="No"/>
    <s v="-"/>
    <s v="Yes"/>
    <n v="20"/>
    <n v="12"/>
    <n v="18"/>
  </r>
  <r>
    <n v="3495"/>
    <x v="253"/>
    <x v="1"/>
    <d v="2024-11-16T00:00:00"/>
    <x v="1"/>
    <n v="5"/>
    <x v="0"/>
    <s v="No"/>
    <s v="-"/>
    <s v="No"/>
    <n v="0"/>
    <n v="2"/>
    <n v="3"/>
  </r>
  <r>
    <n v="3496"/>
    <x v="254"/>
    <x v="0"/>
    <d v="2024-11-17T00:00:00"/>
    <x v="0"/>
    <n v="15"/>
    <x v="1"/>
    <s v="Yes"/>
    <n v="30"/>
    <s v="Yes"/>
    <n v="20"/>
    <n v="5"/>
    <n v="60"/>
  </r>
  <r>
    <n v="3497"/>
    <x v="255"/>
    <x v="2"/>
    <d v="2024-11-18T00:00:00"/>
    <x v="1"/>
    <n v="10"/>
    <x v="0"/>
    <s v="No"/>
    <s v="-"/>
    <s v="Yes"/>
    <n v="20"/>
    <n v="10"/>
    <n v="20"/>
  </r>
  <r>
    <n v="3498"/>
    <x v="256"/>
    <x v="1"/>
    <d v="2024-11-19T00:00:00"/>
    <x v="0"/>
    <n v="5"/>
    <x v="2"/>
    <s v="No"/>
    <s v="-"/>
    <s v="No"/>
    <n v="0"/>
    <n v="0"/>
    <n v="5"/>
  </r>
  <r>
    <n v="3499"/>
    <x v="257"/>
    <x v="0"/>
    <d v="2024-11-20T00:00:00"/>
    <x v="1"/>
    <n v="15"/>
    <x v="0"/>
    <s v="Yes"/>
    <n v="30"/>
    <s v="Yes"/>
    <n v="20"/>
    <n v="3"/>
    <n v="62"/>
  </r>
  <r>
    <n v="3500"/>
    <x v="258"/>
    <x v="2"/>
    <d v="2024-11-21T00:00:00"/>
    <x v="0"/>
    <n v="10"/>
    <x v="1"/>
    <s v="No"/>
    <s v="-"/>
    <s v="Yes"/>
    <n v="20"/>
    <n v="15"/>
    <n v="15"/>
  </r>
  <r>
    <n v="3501"/>
    <x v="259"/>
    <x v="1"/>
    <d v="2024-11-22T00:00:00"/>
    <x v="1"/>
    <n v="5"/>
    <x v="0"/>
    <s v="No"/>
    <s v="-"/>
    <s v="No"/>
    <n v="0"/>
    <n v="1"/>
    <n v="4"/>
  </r>
  <r>
    <n v="3502"/>
    <x v="260"/>
    <x v="0"/>
    <d v="2024-11-23T00:00:00"/>
    <x v="0"/>
    <n v="15"/>
    <x v="2"/>
    <s v="Yes"/>
    <n v="30"/>
    <s v="Yes"/>
    <n v="20"/>
    <n v="7"/>
    <n v="58"/>
  </r>
  <r>
    <n v="3503"/>
    <x v="119"/>
    <x v="2"/>
    <d v="2024-11-24T00:00:00"/>
    <x v="1"/>
    <n v="10"/>
    <x v="0"/>
    <s v="No"/>
    <s v="-"/>
    <s v="Yes"/>
    <n v="20"/>
    <n v="10"/>
    <n v="20"/>
  </r>
  <r>
    <n v="3504"/>
    <x v="261"/>
    <x v="1"/>
    <d v="2024-11-25T00:00:00"/>
    <x v="0"/>
    <n v="5"/>
    <x v="1"/>
    <s v="No"/>
    <s v="-"/>
    <s v="No"/>
    <n v="0"/>
    <n v="0"/>
    <n v="5"/>
  </r>
  <r>
    <n v="3505"/>
    <x v="262"/>
    <x v="0"/>
    <d v="2024-11-26T00:00:00"/>
    <x v="1"/>
    <n v="15"/>
    <x v="0"/>
    <s v="Yes"/>
    <n v="30"/>
    <s v="Yes"/>
    <n v="20"/>
    <n v="20"/>
    <n v="45"/>
  </r>
  <r>
    <n v="3506"/>
    <x v="263"/>
    <x v="2"/>
    <d v="2024-11-27T00:00:00"/>
    <x v="0"/>
    <n v="10"/>
    <x v="2"/>
    <s v="No"/>
    <s v="-"/>
    <s v="Yes"/>
    <n v="20"/>
    <n v="15"/>
    <n v="15"/>
  </r>
  <r>
    <n v="3507"/>
    <x v="264"/>
    <x v="1"/>
    <d v="2024-11-28T00:00:00"/>
    <x v="1"/>
    <n v="5"/>
    <x v="0"/>
    <s v="No"/>
    <s v="-"/>
    <s v="No"/>
    <n v="0"/>
    <n v="1"/>
    <n v="4"/>
  </r>
  <r>
    <n v="3508"/>
    <x v="265"/>
    <x v="0"/>
    <d v="2024-11-29T00:00:00"/>
    <x v="0"/>
    <n v="15"/>
    <x v="1"/>
    <s v="Yes"/>
    <n v="30"/>
    <s v="Yes"/>
    <n v="20"/>
    <n v="3"/>
    <n v="62"/>
  </r>
  <r>
    <n v="3509"/>
    <x v="266"/>
    <x v="2"/>
    <d v="2024-11-30T00:00:00"/>
    <x v="1"/>
    <n v="10"/>
    <x v="0"/>
    <s v="No"/>
    <s v="-"/>
    <s v="Yes"/>
    <n v="20"/>
    <n v="10"/>
    <n v="20"/>
  </r>
  <r>
    <n v="3510"/>
    <x v="267"/>
    <x v="1"/>
    <d v="2024-12-01T00:00:00"/>
    <x v="0"/>
    <n v="5"/>
    <x v="2"/>
    <s v="No"/>
    <s v="-"/>
    <s v="No"/>
    <n v="0"/>
    <n v="0"/>
    <n v="5"/>
  </r>
  <r>
    <n v="3511"/>
    <x v="268"/>
    <x v="0"/>
    <d v="2024-12-02T00:00:00"/>
    <x v="1"/>
    <n v="15"/>
    <x v="0"/>
    <s v="Yes"/>
    <n v="30"/>
    <s v="Yes"/>
    <n v="20"/>
    <n v="15"/>
    <n v="50"/>
  </r>
  <r>
    <n v="3512"/>
    <x v="269"/>
    <x v="2"/>
    <d v="2024-12-03T00:00:00"/>
    <x v="0"/>
    <n v="10"/>
    <x v="1"/>
    <s v="No"/>
    <s v="-"/>
    <s v="Yes"/>
    <n v="20"/>
    <n v="15"/>
    <n v="15"/>
  </r>
  <r>
    <n v="3513"/>
    <x v="270"/>
    <x v="1"/>
    <d v="2024-12-04T00:00:00"/>
    <x v="1"/>
    <n v="5"/>
    <x v="0"/>
    <s v="No"/>
    <s v="-"/>
    <s v="No"/>
    <n v="0"/>
    <n v="1"/>
    <n v="4"/>
  </r>
  <r>
    <n v="3514"/>
    <x v="271"/>
    <x v="0"/>
    <d v="2024-12-05T00:00:00"/>
    <x v="0"/>
    <n v="15"/>
    <x v="2"/>
    <s v="Yes"/>
    <n v="30"/>
    <s v="Yes"/>
    <n v="20"/>
    <n v="7"/>
    <n v="58"/>
  </r>
  <r>
    <n v="3515"/>
    <x v="130"/>
    <x v="2"/>
    <d v="2024-12-06T00:00:00"/>
    <x v="1"/>
    <n v="10"/>
    <x v="0"/>
    <s v="No"/>
    <s v="-"/>
    <s v="Yes"/>
    <n v="20"/>
    <n v="10"/>
    <n v="20"/>
  </r>
  <r>
    <n v="3516"/>
    <x v="131"/>
    <x v="1"/>
    <d v="2024-12-07T00:00:00"/>
    <x v="0"/>
    <n v="5"/>
    <x v="1"/>
    <s v="No"/>
    <s v="-"/>
    <s v="No"/>
    <n v="0"/>
    <n v="0"/>
    <n v="5"/>
  </r>
  <r>
    <n v="3517"/>
    <x v="181"/>
    <x v="0"/>
    <d v="2024-12-08T00:00:00"/>
    <x v="1"/>
    <n v="15"/>
    <x v="0"/>
    <s v="Yes"/>
    <n v="30"/>
    <s v="Yes"/>
    <n v="20"/>
    <n v="20"/>
    <n v="45"/>
  </r>
  <r>
    <n v="3518"/>
    <x v="272"/>
    <x v="2"/>
    <d v="2024-12-09T00:00:00"/>
    <x v="0"/>
    <n v="10"/>
    <x v="2"/>
    <s v="No"/>
    <s v="-"/>
    <s v="Yes"/>
    <n v="20"/>
    <n v="12"/>
    <n v="18"/>
  </r>
  <r>
    <n v="3519"/>
    <x v="273"/>
    <x v="1"/>
    <d v="2024-12-10T00:00:00"/>
    <x v="1"/>
    <n v="5"/>
    <x v="0"/>
    <s v="No"/>
    <s v="-"/>
    <s v="No"/>
    <n v="0"/>
    <n v="2"/>
    <n v="3"/>
  </r>
  <r>
    <n v="3520"/>
    <x v="274"/>
    <x v="0"/>
    <d v="2024-12-11T00:00:00"/>
    <x v="0"/>
    <n v="15"/>
    <x v="1"/>
    <s v="Yes"/>
    <n v="30"/>
    <s v="Yes"/>
    <n v="20"/>
    <n v="5"/>
    <n v="60"/>
  </r>
  <r>
    <n v="3521"/>
    <x v="275"/>
    <x v="2"/>
    <d v="2024-12-12T00:00:00"/>
    <x v="1"/>
    <n v="10"/>
    <x v="0"/>
    <s v="No"/>
    <s v="-"/>
    <s v="Yes"/>
    <n v="20"/>
    <n v="10"/>
    <n v="20"/>
  </r>
  <r>
    <n v="3522"/>
    <x v="276"/>
    <x v="1"/>
    <d v="2024-12-13T00:00:00"/>
    <x v="0"/>
    <n v="5"/>
    <x v="2"/>
    <s v="No"/>
    <s v="-"/>
    <s v="No"/>
    <n v="0"/>
    <n v="0"/>
    <n v="5"/>
  </r>
  <r>
    <n v="3523"/>
    <x v="277"/>
    <x v="0"/>
    <d v="2024-12-14T00:00:00"/>
    <x v="1"/>
    <n v="15"/>
    <x v="0"/>
    <s v="Yes"/>
    <n v="30"/>
    <s v="Yes"/>
    <n v="20"/>
    <n v="3"/>
    <n v="62"/>
  </r>
  <r>
    <n v="3524"/>
    <x v="278"/>
    <x v="2"/>
    <d v="2024-12-15T00:00:00"/>
    <x v="0"/>
    <n v="10"/>
    <x v="1"/>
    <s v="No"/>
    <s v="-"/>
    <s v="Yes"/>
    <n v="20"/>
    <n v="15"/>
    <n v="15"/>
  </r>
  <r>
    <n v="3525"/>
    <x v="279"/>
    <x v="1"/>
    <d v="2024-12-16T00:00:00"/>
    <x v="1"/>
    <n v="5"/>
    <x v="0"/>
    <s v="No"/>
    <s v="-"/>
    <s v="No"/>
    <n v="0"/>
    <n v="1"/>
    <n v="4"/>
  </r>
  <r>
    <m/>
    <x v="280"/>
    <x v="3"/>
    <m/>
    <x v="2"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C0CAE-6C52-4CA8-87F8-9C748F1C91B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C18:D22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16"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field="6" type="button" dataOnly="0" labelOnly="1" outline="0" axis="axisPage" fieldPosition="0"/>
    </format>
    <format dxfId="26">
      <pivotArea field="4" type="button" dataOnly="0" labelOnly="1" outline="0"/>
    </format>
    <format dxfId="25">
      <pivotArea dataOnly="0" labelOnly="1" outline="0" axis="axisValues" fieldPosition="0"/>
    </format>
    <format dxfId="24">
      <pivotArea dataOnly="0" labelOnly="1" grandRow="1" outline="0" fieldPosition="0"/>
    </format>
    <format dxfId="23">
      <pivotArea grandRow="1" outline="0" collapsedLevelsAreSubtotals="1" fieldPosition="0"/>
    </format>
    <format dxfId="22">
      <pivotArea field="4" type="button" dataOnly="0" labelOnly="1" outline="0"/>
    </format>
    <format dxfId="21">
      <pivotArea dataOnly="0" labelOnly="1" grandRow="1" outline="0" fieldPosition="0"/>
    </format>
    <format dxfId="20">
      <pivotArea grandRow="1" outline="0" collapsedLevelsAreSubtotals="1" fieldPosition="0"/>
    </format>
    <format dxfId="19">
      <pivotArea field="6" type="button" dataOnly="0" labelOnly="1" outline="0" axis="axisPage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dataOnly="0" labelOnly="1" outline="0" fieldPosition="0">
        <references count="1">
          <reference field="6" count="0"/>
        </references>
      </pivotArea>
    </format>
    <format dxfId="15">
      <pivotArea field="2" type="button" dataOnly="0" labelOnly="1" outline="0" axis="axisRow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B0A76-5171-4BA2-875D-23678BD52531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C9:D12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15">
    <format dxfId="44">
      <pivotArea outline="0" collapsedLevelsAreSubtotals="1" fieldPosition="0"/>
    </format>
    <format dxfId="43">
      <pivotArea dataOnly="0" labelOnly="1" outline="0" axis="axisValues" fieldPosition="0"/>
    </format>
    <format dxfId="42">
      <pivotArea field="6" type="button" dataOnly="0" labelOnly="1" outline="0" axis="axisPage" fieldPosition="0"/>
    </format>
    <format dxfId="41">
      <pivotArea field="4" type="button" dataOnly="0" labelOnly="1" outline="0" axis="axisRow" fieldPosition="0"/>
    </format>
    <format dxfId="40">
      <pivotArea dataOnly="0" labelOnly="1" outline="0" axis="axisValues" fieldPosition="0"/>
    </format>
    <format dxfId="39">
      <pivotArea dataOnly="0" labelOnly="1" grandRow="1" outline="0" fieldPosition="0"/>
    </format>
    <format dxfId="38">
      <pivotArea grandRow="1" outline="0" collapsedLevelsAreSubtotals="1" fieldPosition="0"/>
    </format>
    <format dxfId="37">
      <pivotArea field="4" type="button" dataOnly="0" labelOnly="1" outline="0" axis="axisRow" fieldPosition="0"/>
    </format>
    <format dxfId="36">
      <pivotArea dataOnly="0" labelOnly="1" fieldPosition="0">
        <references count="1">
          <reference field="4" count="2">
            <x v="0"/>
            <x v="1"/>
          </reference>
        </references>
      </pivotArea>
    </format>
    <format dxfId="35">
      <pivotArea dataOnly="0" labelOnly="1" grandRow="1" outline="0" fieldPosition="0"/>
    </format>
    <format dxfId="34">
      <pivotArea grandRow="1" outline="0" collapsedLevelsAreSubtotals="1" fieldPosition="0"/>
    </format>
    <format dxfId="33">
      <pivotArea field="6" type="button" dataOnly="0" labelOnly="1" outline="0" axis="axisPage" fieldPosition="0"/>
    </format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dataOnly="0" labelOnly="1" outline="0" fieldPosition="0">
        <references count="1">
          <reference field="6" count="0"/>
        </references>
      </pivotArea>
    </format>
  </format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C1E322E-1A72-4D46-883D-B7C44F8EFDF1}" sourceName="Subscription Type">
  <pivotTables>
    <pivotTable tabId="5" name="tbl_annual_total"/>
    <pivotTable tabId="5" name="Tabela dinâmica2"/>
  </pivotTables>
  <data>
    <tabular pivotCacheId="1129896218">
      <items count="4">
        <i x="1" s="1"/>
        <i x="0"/>
        <i x="2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CCC2FDA-9FD0-4A7E-B72A-AD2688662DFB}" cache="SegmentaçãodeDados_Subscription_Type" caption="Subscription Type" style="SlicerStyleLight6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30" sqref="B30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7A4E-62AA-44B5-A053-1B28C6DD1E48}">
  <sheetPr>
    <tabColor theme="3" tint="0.749992370372631"/>
  </sheetPr>
  <dimension ref="A3:R291"/>
  <sheetViews>
    <sheetView workbookViewId="0">
      <selection activeCell="E15" sqref="E15"/>
    </sheetView>
  </sheetViews>
  <sheetFormatPr defaultRowHeight="14.4" x14ac:dyDescent="0.3"/>
  <cols>
    <col min="1" max="2" width="8.88671875" style="12"/>
    <col min="3" max="3" width="17.88671875" style="12" bestFit="1" customWidth="1"/>
    <col min="4" max="4" width="28.33203125" style="17" bestFit="1" customWidth="1"/>
    <col min="5" max="5" width="31.21875" style="22" bestFit="1" customWidth="1"/>
    <col min="6" max="6" width="11.88671875" style="17" bestFit="1" customWidth="1"/>
    <col min="7" max="18" width="8.88671875" style="12"/>
  </cols>
  <sheetData>
    <row r="3" spans="3:4" x14ac:dyDescent="0.3">
      <c r="C3" s="12" t="s">
        <v>317</v>
      </c>
    </row>
    <row r="4" spans="3:4" x14ac:dyDescent="0.3">
      <c r="C4" s="12" t="s">
        <v>316</v>
      </c>
    </row>
    <row r="7" spans="3:4" x14ac:dyDescent="0.3">
      <c r="C7" s="4" t="s">
        <v>16</v>
      </c>
      <c r="D7" s="4" t="s">
        <v>24</v>
      </c>
    </row>
    <row r="9" spans="3:4" x14ac:dyDescent="0.3">
      <c r="C9" s="12" t="s">
        <v>313</v>
      </c>
      <c r="D9" s="15" t="s">
        <v>315</v>
      </c>
    </row>
    <row r="10" spans="3:4" x14ac:dyDescent="0.3">
      <c r="C10" s="16" t="s">
        <v>23</v>
      </c>
      <c r="D10" s="17">
        <v>217</v>
      </c>
    </row>
    <row r="11" spans="3:4" x14ac:dyDescent="0.3">
      <c r="C11" s="16" t="s">
        <v>19</v>
      </c>
      <c r="D11" s="17">
        <v>1537</v>
      </c>
    </row>
    <row r="12" spans="3:4" x14ac:dyDescent="0.3">
      <c r="C12" s="18" t="s">
        <v>314</v>
      </c>
      <c r="D12" s="17">
        <v>1754</v>
      </c>
    </row>
    <row r="13" spans="3:4" x14ac:dyDescent="0.3">
      <c r="C13"/>
      <c r="D13"/>
    </row>
    <row r="14" spans="3:4" x14ac:dyDescent="0.3">
      <c r="D14" s="12"/>
    </row>
    <row r="15" spans="3:4" x14ac:dyDescent="0.3">
      <c r="D15" s="12"/>
    </row>
    <row r="16" spans="3:4" x14ac:dyDescent="0.3">
      <c r="C16" s="4" t="s">
        <v>16</v>
      </c>
      <c r="D16" s="4" t="s">
        <v>24</v>
      </c>
    </row>
    <row r="18" spans="3:6" x14ac:dyDescent="0.3">
      <c r="C18" s="4" t="s">
        <v>313</v>
      </c>
      <c r="D18" s="19" t="s">
        <v>320</v>
      </c>
      <c r="E18" s="12"/>
    </row>
    <row r="19" spans="3:6" x14ac:dyDescent="0.3">
      <c r="C19" s="14" t="s">
        <v>22</v>
      </c>
      <c r="D19" s="17">
        <v>0</v>
      </c>
      <c r="E19" s="12"/>
    </row>
    <row r="20" spans="3:6" x14ac:dyDescent="0.3">
      <c r="C20" s="14" t="s">
        <v>26</v>
      </c>
      <c r="D20" s="17">
        <v>0</v>
      </c>
      <c r="E20" s="12"/>
    </row>
    <row r="21" spans="3:6" x14ac:dyDescent="0.3">
      <c r="C21" s="14" t="s">
        <v>18</v>
      </c>
      <c r="D21" s="17">
        <v>600</v>
      </c>
      <c r="E21" s="12"/>
    </row>
    <row r="22" spans="3:6" x14ac:dyDescent="0.3">
      <c r="C22" s="18" t="s">
        <v>314</v>
      </c>
      <c r="D22" s="17">
        <v>600</v>
      </c>
      <c r="E22" s="12"/>
      <c r="F22" s="17">
        <f>GETPIVOTDATA("EA Play Season Pass
Price",$C$18)</f>
        <v>600</v>
      </c>
    </row>
    <row r="23" spans="3:6" x14ac:dyDescent="0.3">
      <c r="C23"/>
      <c r="D23"/>
      <c r="E23" s="12"/>
    </row>
    <row r="24" spans="3:6" x14ac:dyDescent="0.3">
      <c r="D24" s="12"/>
    </row>
    <row r="25" spans="3:6" x14ac:dyDescent="0.3">
      <c r="D25" s="12"/>
    </row>
    <row r="26" spans="3:6" x14ac:dyDescent="0.3">
      <c r="D26" s="12"/>
    </row>
    <row r="27" spans="3:6" x14ac:dyDescent="0.3">
      <c r="D27" s="12"/>
    </row>
    <row r="28" spans="3:6" x14ac:dyDescent="0.3">
      <c r="D28" s="12"/>
    </row>
    <row r="29" spans="3:6" x14ac:dyDescent="0.3">
      <c r="D29" s="12"/>
    </row>
    <row r="30" spans="3:6" x14ac:dyDescent="0.3">
      <c r="D30" s="12"/>
    </row>
    <row r="31" spans="3:6" x14ac:dyDescent="0.3">
      <c r="D31" s="12"/>
    </row>
    <row r="32" spans="3:6" x14ac:dyDescent="0.3">
      <c r="D32" s="12"/>
    </row>
    <row r="33" spans="4:4" x14ac:dyDescent="0.3">
      <c r="D33" s="12"/>
    </row>
    <row r="34" spans="4:4" x14ac:dyDescent="0.3">
      <c r="D34" s="12"/>
    </row>
    <row r="35" spans="4:4" x14ac:dyDescent="0.3">
      <c r="D35" s="12"/>
    </row>
    <row r="36" spans="4:4" x14ac:dyDescent="0.3">
      <c r="D36" s="12"/>
    </row>
    <row r="37" spans="4:4" x14ac:dyDescent="0.3">
      <c r="D37" s="12"/>
    </row>
    <row r="38" spans="4:4" x14ac:dyDescent="0.3">
      <c r="D38" s="12"/>
    </row>
    <row r="39" spans="4:4" x14ac:dyDescent="0.3">
      <c r="D39" s="12"/>
    </row>
    <row r="40" spans="4:4" x14ac:dyDescent="0.3">
      <c r="D40" s="12"/>
    </row>
    <row r="41" spans="4:4" x14ac:dyDescent="0.3">
      <c r="D41" s="12"/>
    </row>
    <row r="42" spans="4:4" x14ac:dyDescent="0.3">
      <c r="D42" s="12"/>
    </row>
    <row r="43" spans="4:4" x14ac:dyDescent="0.3">
      <c r="D43" s="12"/>
    </row>
    <row r="44" spans="4:4" x14ac:dyDescent="0.3">
      <c r="D44" s="12"/>
    </row>
    <row r="45" spans="4:4" x14ac:dyDescent="0.3">
      <c r="D45" s="12"/>
    </row>
    <row r="46" spans="4:4" x14ac:dyDescent="0.3">
      <c r="D46" s="12"/>
    </row>
    <row r="47" spans="4:4" x14ac:dyDescent="0.3">
      <c r="D47" s="12"/>
    </row>
    <row r="48" spans="4:4" x14ac:dyDescent="0.3">
      <c r="D48" s="12"/>
    </row>
    <row r="49" spans="4:4" x14ac:dyDescent="0.3">
      <c r="D49" s="12"/>
    </row>
    <row r="50" spans="4:4" x14ac:dyDescent="0.3">
      <c r="D50" s="12"/>
    </row>
    <row r="51" spans="4:4" x14ac:dyDescent="0.3">
      <c r="D51" s="12"/>
    </row>
    <row r="52" spans="4:4" x14ac:dyDescent="0.3">
      <c r="D52" s="12"/>
    </row>
    <row r="53" spans="4:4" x14ac:dyDescent="0.3">
      <c r="D53" s="12"/>
    </row>
    <row r="54" spans="4:4" x14ac:dyDescent="0.3">
      <c r="D54" s="12"/>
    </row>
    <row r="55" spans="4:4" x14ac:dyDescent="0.3">
      <c r="D55" s="12"/>
    </row>
    <row r="56" spans="4:4" x14ac:dyDescent="0.3">
      <c r="D56" s="12"/>
    </row>
    <row r="57" spans="4:4" x14ac:dyDescent="0.3">
      <c r="D57" s="12"/>
    </row>
    <row r="58" spans="4:4" x14ac:dyDescent="0.3">
      <c r="D58" s="12"/>
    </row>
    <row r="59" spans="4:4" x14ac:dyDescent="0.3">
      <c r="D59" s="12"/>
    </row>
    <row r="60" spans="4:4" x14ac:dyDescent="0.3">
      <c r="D60" s="12"/>
    </row>
    <row r="61" spans="4:4" x14ac:dyDescent="0.3">
      <c r="D61" s="12"/>
    </row>
    <row r="62" spans="4:4" x14ac:dyDescent="0.3">
      <c r="D62" s="12"/>
    </row>
    <row r="63" spans="4:4" x14ac:dyDescent="0.3">
      <c r="D63" s="12"/>
    </row>
    <row r="64" spans="4:4" x14ac:dyDescent="0.3">
      <c r="D64" s="12"/>
    </row>
    <row r="65" spans="4:4" x14ac:dyDescent="0.3">
      <c r="D65" s="12"/>
    </row>
    <row r="66" spans="4:4" x14ac:dyDescent="0.3">
      <c r="D66" s="12"/>
    </row>
    <row r="67" spans="4:4" x14ac:dyDescent="0.3">
      <c r="D67" s="12"/>
    </row>
    <row r="68" spans="4:4" x14ac:dyDescent="0.3">
      <c r="D68" s="12"/>
    </row>
    <row r="69" spans="4:4" x14ac:dyDescent="0.3">
      <c r="D69" s="12"/>
    </row>
    <row r="70" spans="4:4" x14ac:dyDescent="0.3">
      <c r="D70" s="12"/>
    </row>
    <row r="71" spans="4:4" x14ac:dyDescent="0.3">
      <c r="D71" s="12"/>
    </row>
    <row r="72" spans="4:4" x14ac:dyDescent="0.3">
      <c r="D72" s="12"/>
    </row>
    <row r="73" spans="4:4" x14ac:dyDescent="0.3">
      <c r="D73" s="12"/>
    </row>
    <row r="74" spans="4:4" x14ac:dyDescent="0.3">
      <c r="D74" s="12"/>
    </row>
    <row r="75" spans="4:4" x14ac:dyDescent="0.3">
      <c r="D75" s="12"/>
    </row>
    <row r="76" spans="4:4" x14ac:dyDescent="0.3">
      <c r="D76" s="12"/>
    </row>
    <row r="77" spans="4:4" x14ac:dyDescent="0.3">
      <c r="D77" s="12"/>
    </row>
    <row r="78" spans="4:4" x14ac:dyDescent="0.3">
      <c r="D78" s="12"/>
    </row>
    <row r="79" spans="4:4" x14ac:dyDescent="0.3">
      <c r="D79" s="12"/>
    </row>
    <row r="80" spans="4:4" x14ac:dyDescent="0.3">
      <c r="D80" s="12"/>
    </row>
    <row r="81" spans="4:4" x14ac:dyDescent="0.3">
      <c r="D81" s="12"/>
    </row>
    <row r="82" spans="4:4" x14ac:dyDescent="0.3">
      <c r="D82" s="12"/>
    </row>
    <row r="83" spans="4:4" x14ac:dyDescent="0.3">
      <c r="D83" s="12"/>
    </row>
    <row r="84" spans="4:4" x14ac:dyDescent="0.3">
      <c r="D84" s="12"/>
    </row>
    <row r="85" spans="4:4" x14ac:dyDescent="0.3">
      <c r="D85" s="12"/>
    </row>
    <row r="86" spans="4:4" x14ac:dyDescent="0.3">
      <c r="D86" s="12"/>
    </row>
    <row r="87" spans="4:4" x14ac:dyDescent="0.3">
      <c r="D87" s="12"/>
    </row>
    <row r="88" spans="4:4" x14ac:dyDescent="0.3">
      <c r="D88" s="12"/>
    </row>
    <row r="89" spans="4:4" x14ac:dyDescent="0.3">
      <c r="D89" s="12"/>
    </row>
    <row r="90" spans="4:4" x14ac:dyDescent="0.3">
      <c r="D90" s="12"/>
    </row>
    <row r="91" spans="4:4" x14ac:dyDescent="0.3">
      <c r="D91" s="12"/>
    </row>
    <row r="92" spans="4:4" x14ac:dyDescent="0.3">
      <c r="D92" s="12"/>
    </row>
    <row r="93" spans="4:4" x14ac:dyDescent="0.3">
      <c r="D93" s="12"/>
    </row>
    <row r="94" spans="4:4" x14ac:dyDescent="0.3">
      <c r="D94" s="12"/>
    </row>
    <row r="95" spans="4:4" x14ac:dyDescent="0.3">
      <c r="D95" s="12"/>
    </row>
    <row r="96" spans="4:4" x14ac:dyDescent="0.3">
      <c r="D96" s="12"/>
    </row>
    <row r="97" spans="4:4" x14ac:dyDescent="0.3">
      <c r="D97" s="12"/>
    </row>
    <row r="98" spans="4:4" x14ac:dyDescent="0.3">
      <c r="D98" s="12"/>
    </row>
    <row r="99" spans="4:4" x14ac:dyDescent="0.3">
      <c r="D99" s="12"/>
    </row>
    <row r="100" spans="4:4" x14ac:dyDescent="0.3">
      <c r="D100" s="12"/>
    </row>
    <row r="101" spans="4:4" x14ac:dyDescent="0.3">
      <c r="D101" s="12"/>
    </row>
    <row r="102" spans="4:4" x14ac:dyDescent="0.3">
      <c r="D102" s="12"/>
    </row>
    <row r="103" spans="4:4" x14ac:dyDescent="0.3">
      <c r="D103" s="12"/>
    </row>
    <row r="104" spans="4:4" x14ac:dyDescent="0.3">
      <c r="D104" s="12"/>
    </row>
    <row r="105" spans="4:4" x14ac:dyDescent="0.3">
      <c r="D105" s="12"/>
    </row>
    <row r="106" spans="4:4" x14ac:dyDescent="0.3">
      <c r="D106" s="12"/>
    </row>
    <row r="107" spans="4:4" x14ac:dyDescent="0.3">
      <c r="D107" s="12"/>
    </row>
    <row r="108" spans="4:4" x14ac:dyDescent="0.3">
      <c r="D108" s="12"/>
    </row>
    <row r="109" spans="4:4" x14ac:dyDescent="0.3">
      <c r="D109" s="12"/>
    </row>
    <row r="110" spans="4:4" x14ac:dyDescent="0.3">
      <c r="D110" s="12"/>
    </row>
    <row r="111" spans="4:4" x14ac:dyDescent="0.3">
      <c r="D111" s="12"/>
    </row>
    <row r="112" spans="4:4" x14ac:dyDescent="0.3">
      <c r="D112" s="12"/>
    </row>
    <row r="113" spans="4:4" x14ac:dyDescent="0.3">
      <c r="D113" s="12"/>
    </row>
    <row r="114" spans="4:4" x14ac:dyDescent="0.3">
      <c r="D114" s="12"/>
    </row>
    <row r="115" spans="4:4" x14ac:dyDescent="0.3">
      <c r="D115" s="12"/>
    </row>
    <row r="116" spans="4:4" x14ac:dyDescent="0.3">
      <c r="D116" s="12"/>
    </row>
    <row r="117" spans="4:4" x14ac:dyDescent="0.3">
      <c r="D117" s="12"/>
    </row>
    <row r="118" spans="4:4" x14ac:dyDescent="0.3">
      <c r="D118" s="12"/>
    </row>
    <row r="119" spans="4:4" x14ac:dyDescent="0.3">
      <c r="D119" s="12"/>
    </row>
    <row r="120" spans="4:4" x14ac:dyDescent="0.3">
      <c r="D120" s="12"/>
    </row>
    <row r="121" spans="4:4" x14ac:dyDescent="0.3">
      <c r="D121" s="12"/>
    </row>
    <row r="122" spans="4:4" x14ac:dyDescent="0.3">
      <c r="D122" s="12"/>
    </row>
    <row r="123" spans="4:4" x14ac:dyDescent="0.3">
      <c r="D123" s="12"/>
    </row>
    <row r="124" spans="4:4" x14ac:dyDescent="0.3">
      <c r="D124" s="12"/>
    </row>
    <row r="125" spans="4:4" x14ac:dyDescent="0.3">
      <c r="D125" s="12"/>
    </row>
    <row r="126" spans="4:4" x14ac:dyDescent="0.3">
      <c r="D126" s="12"/>
    </row>
    <row r="127" spans="4:4" x14ac:dyDescent="0.3">
      <c r="D127" s="12"/>
    </row>
    <row r="128" spans="4:4" x14ac:dyDescent="0.3">
      <c r="D128" s="12"/>
    </row>
    <row r="129" spans="4:4" x14ac:dyDescent="0.3">
      <c r="D129" s="12"/>
    </row>
    <row r="130" spans="4:4" x14ac:dyDescent="0.3">
      <c r="D130" s="12"/>
    </row>
    <row r="131" spans="4:4" x14ac:dyDescent="0.3">
      <c r="D131" s="12"/>
    </row>
    <row r="132" spans="4:4" x14ac:dyDescent="0.3">
      <c r="D132" s="12"/>
    </row>
    <row r="133" spans="4:4" x14ac:dyDescent="0.3">
      <c r="D133" s="12"/>
    </row>
    <row r="134" spans="4:4" x14ac:dyDescent="0.3">
      <c r="D134" s="12"/>
    </row>
    <row r="135" spans="4:4" x14ac:dyDescent="0.3">
      <c r="D135" s="12"/>
    </row>
    <row r="136" spans="4:4" x14ac:dyDescent="0.3">
      <c r="D136" s="12"/>
    </row>
    <row r="137" spans="4:4" x14ac:dyDescent="0.3">
      <c r="D137" s="12"/>
    </row>
    <row r="138" spans="4:4" x14ac:dyDescent="0.3">
      <c r="D138" s="12"/>
    </row>
    <row r="139" spans="4:4" x14ac:dyDescent="0.3">
      <c r="D139" s="12"/>
    </row>
    <row r="140" spans="4:4" x14ac:dyDescent="0.3">
      <c r="D140" s="12"/>
    </row>
    <row r="141" spans="4:4" x14ac:dyDescent="0.3">
      <c r="D141" s="12"/>
    </row>
    <row r="142" spans="4:4" x14ac:dyDescent="0.3">
      <c r="D142" s="12"/>
    </row>
    <row r="143" spans="4:4" x14ac:dyDescent="0.3">
      <c r="D143" s="12"/>
    </row>
    <row r="144" spans="4:4" x14ac:dyDescent="0.3">
      <c r="D144" s="12"/>
    </row>
    <row r="145" spans="4:4" x14ac:dyDescent="0.3">
      <c r="D145" s="12"/>
    </row>
    <row r="146" spans="4:4" x14ac:dyDescent="0.3">
      <c r="D146" s="12"/>
    </row>
    <row r="147" spans="4:4" x14ac:dyDescent="0.3">
      <c r="D147" s="12"/>
    </row>
    <row r="148" spans="4:4" x14ac:dyDescent="0.3">
      <c r="D148" s="12"/>
    </row>
    <row r="149" spans="4:4" x14ac:dyDescent="0.3">
      <c r="D149" s="12"/>
    </row>
    <row r="150" spans="4:4" x14ac:dyDescent="0.3">
      <c r="D150" s="12"/>
    </row>
    <row r="151" spans="4:4" x14ac:dyDescent="0.3">
      <c r="D151" s="12"/>
    </row>
    <row r="152" spans="4:4" x14ac:dyDescent="0.3">
      <c r="D152" s="12"/>
    </row>
    <row r="153" spans="4:4" x14ac:dyDescent="0.3">
      <c r="D153" s="12"/>
    </row>
    <row r="154" spans="4:4" x14ac:dyDescent="0.3">
      <c r="D154" s="12"/>
    </row>
    <row r="155" spans="4:4" x14ac:dyDescent="0.3">
      <c r="D155" s="12"/>
    </row>
    <row r="156" spans="4:4" x14ac:dyDescent="0.3">
      <c r="D156" s="12"/>
    </row>
    <row r="157" spans="4:4" x14ac:dyDescent="0.3">
      <c r="D157" s="12"/>
    </row>
    <row r="158" spans="4:4" x14ac:dyDescent="0.3">
      <c r="D158" s="12"/>
    </row>
    <row r="159" spans="4:4" x14ac:dyDescent="0.3">
      <c r="D159" s="12"/>
    </row>
    <row r="160" spans="4:4" x14ac:dyDescent="0.3">
      <c r="D160" s="12"/>
    </row>
    <row r="161" spans="4:4" x14ac:dyDescent="0.3">
      <c r="D161" s="12"/>
    </row>
    <row r="162" spans="4:4" x14ac:dyDescent="0.3">
      <c r="D162" s="12"/>
    </row>
    <row r="163" spans="4:4" x14ac:dyDescent="0.3">
      <c r="D163" s="12"/>
    </row>
    <row r="164" spans="4:4" x14ac:dyDescent="0.3">
      <c r="D164" s="12"/>
    </row>
    <row r="165" spans="4:4" x14ac:dyDescent="0.3">
      <c r="D165" s="12"/>
    </row>
    <row r="166" spans="4:4" x14ac:dyDescent="0.3">
      <c r="D166" s="12"/>
    </row>
    <row r="167" spans="4:4" x14ac:dyDescent="0.3">
      <c r="D167" s="12"/>
    </row>
    <row r="168" spans="4:4" x14ac:dyDescent="0.3">
      <c r="D168" s="12"/>
    </row>
    <row r="169" spans="4:4" x14ac:dyDescent="0.3">
      <c r="D169" s="12"/>
    </row>
    <row r="170" spans="4:4" x14ac:dyDescent="0.3">
      <c r="D170" s="12"/>
    </row>
    <row r="171" spans="4:4" x14ac:dyDescent="0.3">
      <c r="D171" s="12"/>
    </row>
    <row r="172" spans="4:4" x14ac:dyDescent="0.3">
      <c r="D172" s="12"/>
    </row>
    <row r="173" spans="4:4" x14ac:dyDescent="0.3">
      <c r="D173" s="12"/>
    </row>
    <row r="174" spans="4:4" x14ac:dyDescent="0.3">
      <c r="D174" s="12"/>
    </row>
    <row r="175" spans="4:4" x14ac:dyDescent="0.3">
      <c r="D175" s="12"/>
    </row>
    <row r="176" spans="4:4" x14ac:dyDescent="0.3">
      <c r="D176" s="12"/>
    </row>
    <row r="177" spans="4:4" x14ac:dyDescent="0.3">
      <c r="D177" s="12"/>
    </row>
    <row r="178" spans="4:4" x14ac:dyDescent="0.3">
      <c r="D178" s="12"/>
    </row>
    <row r="179" spans="4:4" x14ac:dyDescent="0.3">
      <c r="D179" s="12"/>
    </row>
    <row r="180" spans="4:4" x14ac:dyDescent="0.3">
      <c r="D180" s="12"/>
    </row>
    <row r="181" spans="4:4" x14ac:dyDescent="0.3">
      <c r="D181" s="12"/>
    </row>
    <row r="182" spans="4:4" x14ac:dyDescent="0.3">
      <c r="D182" s="12"/>
    </row>
    <row r="183" spans="4:4" x14ac:dyDescent="0.3">
      <c r="D183" s="12"/>
    </row>
    <row r="184" spans="4:4" x14ac:dyDescent="0.3">
      <c r="D184" s="12"/>
    </row>
    <row r="185" spans="4:4" x14ac:dyDescent="0.3">
      <c r="D185" s="12"/>
    </row>
    <row r="186" spans="4:4" x14ac:dyDescent="0.3">
      <c r="D186" s="12"/>
    </row>
    <row r="187" spans="4:4" x14ac:dyDescent="0.3">
      <c r="D187" s="12"/>
    </row>
    <row r="188" spans="4:4" x14ac:dyDescent="0.3">
      <c r="D188" s="12"/>
    </row>
    <row r="189" spans="4:4" x14ac:dyDescent="0.3">
      <c r="D189" s="12"/>
    </row>
    <row r="190" spans="4:4" x14ac:dyDescent="0.3">
      <c r="D190" s="12"/>
    </row>
    <row r="191" spans="4:4" x14ac:dyDescent="0.3">
      <c r="D191" s="12"/>
    </row>
    <row r="192" spans="4:4" x14ac:dyDescent="0.3">
      <c r="D192" s="12"/>
    </row>
    <row r="193" spans="4:4" x14ac:dyDescent="0.3">
      <c r="D193" s="12"/>
    </row>
    <row r="194" spans="4:4" x14ac:dyDescent="0.3">
      <c r="D194" s="12"/>
    </row>
    <row r="195" spans="4:4" x14ac:dyDescent="0.3">
      <c r="D195" s="12"/>
    </row>
    <row r="196" spans="4:4" x14ac:dyDescent="0.3">
      <c r="D196" s="12"/>
    </row>
    <row r="197" spans="4:4" x14ac:dyDescent="0.3">
      <c r="D197" s="12"/>
    </row>
    <row r="198" spans="4:4" x14ac:dyDescent="0.3">
      <c r="D198" s="12"/>
    </row>
    <row r="199" spans="4:4" x14ac:dyDescent="0.3">
      <c r="D199" s="12"/>
    </row>
    <row r="200" spans="4:4" x14ac:dyDescent="0.3">
      <c r="D200" s="12"/>
    </row>
    <row r="201" spans="4:4" x14ac:dyDescent="0.3">
      <c r="D201" s="12"/>
    </row>
    <row r="202" spans="4:4" x14ac:dyDescent="0.3">
      <c r="D202" s="12"/>
    </row>
    <row r="203" spans="4:4" x14ac:dyDescent="0.3">
      <c r="D203" s="12"/>
    </row>
    <row r="204" spans="4:4" x14ac:dyDescent="0.3">
      <c r="D204" s="12"/>
    </row>
    <row r="205" spans="4:4" x14ac:dyDescent="0.3">
      <c r="D205" s="12"/>
    </row>
    <row r="206" spans="4:4" x14ac:dyDescent="0.3">
      <c r="D206" s="12"/>
    </row>
    <row r="207" spans="4:4" x14ac:dyDescent="0.3">
      <c r="D207" s="12"/>
    </row>
    <row r="208" spans="4:4" x14ac:dyDescent="0.3">
      <c r="D208" s="12"/>
    </row>
    <row r="209" spans="4:4" x14ac:dyDescent="0.3">
      <c r="D209" s="12"/>
    </row>
    <row r="210" spans="4:4" x14ac:dyDescent="0.3">
      <c r="D210" s="12"/>
    </row>
    <row r="211" spans="4:4" x14ac:dyDescent="0.3">
      <c r="D211" s="12"/>
    </row>
    <row r="212" spans="4:4" x14ac:dyDescent="0.3">
      <c r="D212" s="12"/>
    </row>
    <row r="213" spans="4:4" x14ac:dyDescent="0.3">
      <c r="D213" s="12"/>
    </row>
    <row r="214" spans="4:4" x14ac:dyDescent="0.3">
      <c r="D214" s="12"/>
    </row>
    <row r="215" spans="4:4" x14ac:dyDescent="0.3">
      <c r="D215" s="12"/>
    </row>
    <row r="216" spans="4:4" x14ac:dyDescent="0.3">
      <c r="D216" s="12"/>
    </row>
    <row r="217" spans="4:4" x14ac:dyDescent="0.3">
      <c r="D217" s="12"/>
    </row>
    <row r="218" spans="4:4" x14ac:dyDescent="0.3">
      <c r="D218" s="12"/>
    </row>
    <row r="219" spans="4:4" x14ac:dyDescent="0.3">
      <c r="D219" s="12"/>
    </row>
    <row r="220" spans="4:4" x14ac:dyDescent="0.3">
      <c r="D220" s="12"/>
    </row>
    <row r="221" spans="4:4" x14ac:dyDescent="0.3">
      <c r="D221" s="12"/>
    </row>
    <row r="222" spans="4:4" x14ac:dyDescent="0.3">
      <c r="D222" s="12"/>
    </row>
    <row r="223" spans="4:4" x14ac:dyDescent="0.3">
      <c r="D223" s="12"/>
    </row>
    <row r="224" spans="4:4" x14ac:dyDescent="0.3">
      <c r="D224" s="12"/>
    </row>
    <row r="225" spans="4:4" x14ac:dyDescent="0.3">
      <c r="D225" s="12"/>
    </row>
    <row r="226" spans="4:4" x14ac:dyDescent="0.3">
      <c r="D226" s="12"/>
    </row>
    <row r="227" spans="4:4" x14ac:dyDescent="0.3">
      <c r="D227" s="12"/>
    </row>
    <row r="228" spans="4:4" x14ac:dyDescent="0.3">
      <c r="D228" s="12"/>
    </row>
    <row r="229" spans="4:4" x14ac:dyDescent="0.3">
      <c r="D229" s="12"/>
    </row>
    <row r="230" spans="4:4" x14ac:dyDescent="0.3">
      <c r="D230" s="12"/>
    </row>
    <row r="231" spans="4:4" x14ac:dyDescent="0.3">
      <c r="D231" s="12"/>
    </row>
    <row r="232" spans="4:4" x14ac:dyDescent="0.3">
      <c r="D232" s="12"/>
    </row>
    <row r="233" spans="4:4" x14ac:dyDescent="0.3">
      <c r="D233" s="12"/>
    </row>
    <row r="234" spans="4:4" x14ac:dyDescent="0.3">
      <c r="D234" s="12"/>
    </row>
    <row r="235" spans="4:4" x14ac:dyDescent="0.3">
      <c r="D235" s="12"/>
    </row>
    <row r="236" spans="4:4" x14ac:dyDescent="0.3">
      <c r="D236" s="12"/>
    </row>
    <row r="237" spans="4:4" x14ac:dyDescent="0.3">
      <c r="D237" s="12"/>
    </row>
    <row r="238" spans="4:4" x14ac:dyDescent="0.3">
      <c r="D238" s="12"/>
    </row>
    <row r="239" spans="4:4" x14ac:dyDescent="0.3">
      <c r="D239" s="12"/>
    </row>
    <row r="240" spans="4:4" x14ac:dyDescent="0.3">
      <c r="D240" s="12"/>
    </row>
    <row r="241" spans="4:4" x14ac:dyDescent="0.3">
      <c r="D241" s="12"/>
    </row>
    <row r="242" spans="4:4" x14ac:dyDescent="0.3">
      <c r="D242" s="12"/>
    </row>
    <row r="243" spans="4:4" x14ac:dyDescent="0.3">
      <c r="D243" s="12"/>
    </row>
    <row r="244" spans="4:4" x14ac:dyDescent="0.3">
      <c r="D244" s="12"/>
    </row>
    <row r="245" spans="4:4" x14ac:dyDescent="0.3">
      <c r="D245" s="12"/>
    </row>
    <row r="246" spans="4:4" x14ac:dyDescent="0.3">
      <c r="D246" s="12"/>
    </row>
    <row r="247" spans="4:4" x14ac:dyDescent="0.3">
      <c r="D247" s="12"/>
    </row>
    <row r="248" spans="4:4" x14ac:dyDescent="0.3">
      <c r="D248" s="12"/>
    </row>
    <row r="249" spans="4:4" x14ac:dyDescent="0.3">
      <c r="D249" s="12"/>
    </row>
    <row r="250" spans="4:4" x14ac:dyDescent="0.3">
      <c r="D250" s="12"/>
    </row>
    <row r="251" spans="4:4" x14ac:dyDescent="0.3">
      <c r="D251" s="12"/>
    </row>
    <row r="252" spans="4:4" x14ac:dyDescent="0.3">
      <c r="D252" s="12"/>
    </row>
    <row r="253" spans="4:4" x14ac:dyDescent="0.3">
      <c r="D253" s="12"/>
    </row>
    <row r="254" spans="4:4" x14ac:dyDescent="0.3">
      <c r="D254" s="12"/>
    </row>
    <row r="255" spans="4:4" x14ac:dyDescent="0.3">
      <c r="D255" s="12"/>
    </row>
    <row r="256" spans="4:4" x14ac:dyDescent="0.3">
      <c r="D256" s="12"/>
    </row>
    <row r="257" spans="4:4" x14ac:dyDescent="0.3">
      <c r="D257" s="12"/>
    </row>
    <row r="258" spans="4:4" x14ac:dyDescent="0.3">
      <c r="D258" s="12"/>
    </row>
    <row r="259" spans="4:4" x14ac:dyDescent="0.3">
      <c r="D259" s="12"/>
    </row>
    <row r="260" spans="4:4" x14ac:dyDescent="0.3">
      <c r="D260" s="12"/>
    </row>
    <row r="261" spans="4:4" x14ac:dyDescent="0.3">
      <c r="D261" s="12"/>
    </row>
    <row r="262" spans="4:4" x14ac:dyDescent="0.3">
      <c r="D262" s="12"/>
    </row>
    <row r="263" spans="4:4" x14ac:dyDescent="0.3">
      <c r="D263" s="12"/>
    </row>
    <row r="264" spans="4:4" x14ac:dyDescent="0.3">
      <c r="D264" s="12"/>
    </row>
    <row r="265" spans="4:4" x14ac:dyDescent="0.3">
      <c r="D265" s="12"/>
    </row>
    <row r="266" spans="4:4" x14ac:dyDescent="0.3">
      <c r="D266" s="12"/>
    </row>
    <row r="267" spans="4:4" x14ac:dyDescent="0.3">
      <c r="D267" s="12"/>
    </row>
    <row r="268" spans="4:4" x14ac:dyDescent="0.3">
      <c r="D268" s="12"/>
    </row>
    <row r="269" spans="4:4" x14ac:dyDescent="0.3">
      <c r="D269" s="12"/>
    </row>
    <row r="270" spans="4:4" x14ac:dyDescent="0.3">
      <c r="D270" s="12"/>
    </row>
    <row r="271" spans="4:4" x14ac:dyDescent="0.3">
      <c r="D271" s="12"/>
    </row>
    <row r="272" spans="4:4" x14ac:dyDescent="0.3">
      <c r="D272" s="12"/>
    </row>
    <row r="273" spans="4:4" x14ac:dyDescent="0.3">
      <c r="D273" s="12"/>
    </row>
    <row r="274" spans="4:4" x14ac:dyDescent="0.3">
      <c r="D274" s="12"/>
    </row>
    <row r="275" spans="4:4" x14ac:dyDescent="0.3">
      <c r="D275" s="12"/>
    </row>
    <row r="276" spans="4:4" x14ac:dyDescent="0.3">
      <c r="D276" s="12"/>
    </row>
    <row r="277" spans="4:4" x14ac:dyDescent="0.3">
      <c r="D277" s="12"/>
    </row>
    <row r="278" spans="4:4" x14ac:dyDescent="0.3">
      <c r="D278" s="12"/>
    </row>
    <row r="279" spans="4:4" x14ac:dyDescent="0.3">
      <c r="D279" s="12"/>
    </row>
    <row r="280" spans="4:4" x14ac:dyDescent="0.3">
      <c r="D280" s="12"/>
    </row>
    <row r="281" spans="4:4" x14ac:dyDescent="0.3">
      <c r="D281" s="12"/>
    </row>
    <row r="282" spans="4:4" x14ac:dyDescent="0.3">
      <c r="D282" s="12"/>
    </row>
    <row r="283" spans="4:4" x14ac:dyDescent="0.3">
      <c r="D283" s="12"/>
    </row>
    <row r="284" spans="4:4" x14ac:dyDescent="0.3">
      <c r="D284" s="12"/>
    </row>
    <row r="285" spans="4:4" x14ac:dyDescent="0.3">
      <c r="D285" s="12"/>
    </row>
    <row r="286" spans="4:4" x14ac:dyDescent="0.3">
      <c r="D286" s="12"/>
    </row>
    <row r="287" spans="4:4" x14ac:dyDescent="0.3">
      <c r="D287" s="12"/>
    </row>
    <row r="288" spans="4:4" x14ac:dyDescent="0.3">
      <c r="D288" s="12"/>
    </row>
    <row r="289" spans="4:4" x14ac:dyDescent="0.3">
      <c r="D289" s="12"/>
    </row>
    <row r="290" spans="4:4" x14ac:dyDescent="0.3">
      <c r="D290" s="12"/>
    </row>
    <row r="291" spans="4:4" x14ac:dyDescent="0.3">
      <c r="D291" s="1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226" sqref="E22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3.8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4.4" x14ac:dyDescent="0.3"/>
  <cols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E70"/>
  <sheetViews>
    <sheetView showGridLines="0" tabSelected="1" zoomScale="80" zoomScaleNormal="80" workbookViewId="0">
      <selection activeCell="L27" sqref="L27"/>
    </sheetView>
  </sheetViews>
  <sheetFormatPr defaultRowHeight="14.4" x14ac:dyDescent="0.3"/>
  <cols>
    <col min="1" max="1" width="31.109375" style="4" customWidth="1"/>
    <col min="2" max="2" width="12.77734375" customWidth="1"/>
    <col min="12" max="12" width="6.5546875" customWidth="1"/>
  </cols>
  <sheetData>
    <row r="1" spans="1:31" s="13" customFormat="1" x14ac:dyDescent="0.3">
      <c r="A1" s="4"/>
    </row>
    <row r="2" spans="1:31" s="13" customFormat="1" ht="13.8" customHeight="1" x14ac:dyDescent="0.3">
      <c r="A2" s="4"/>
    </row>
    <row r="3" spans="1:31" s="12" customFormat="1" ht="21" customHeight="1" thickBot="1" x14ac:dyDescent="0.45">
      <c r="A3" s="4"/>
      <c r="C3" s="20" t="s">
        <v>318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31" s="12" customFormat="1" ht="13.2" customHeight="1" thickTop="1" x14ac:dyDescent="0.3">
      <c r="A4" s="4"/>
    </row>
    <row r="5" spans="1:31" ht="8.25" customHeight="1" x14ac:dyDescent="0.3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ht="7.5" customHeight="1" x14ac:dyDescent="0.3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ht="16.2" customHeight="1" x14ac:dyDescent="0.3">
      <c r="A7" s="21" t="s">
        <v>319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ht="9.75" customHeight="1" x14ac:dyDescent="0.3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spans="1:31" ht="33" customHeight="1" x14ac:dyDescent="0.3">
      <c r="B9" s="13">
        <f>GETPIVOTDATA("EA Play Season Pass
Price",Planilha1!$C$18)</f>
        <v>600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 spans="1:31" x14ac:dyDescent="0.3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 x14ac:dyDescent="0.3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 spans="1:31" x14ac:dyDescent="0.3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 x14ac:dyDescent="0.3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 x14ac:dyDescent="0.3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 t="s">
        <v>321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spans="1:31" x14ac:dyDescent="0.3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 x14ac:dyDescent="0.3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2:31" x14ac:dyDescent="0.3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spans="2:31" x14ac:dyDescent="0.3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 spans="2:31" x14ac:dyDescent="0.3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spans="2:31" x14ac:dyDescent="0.3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 spans="2:31" x14ac:dyDescent="0.3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spans="2:31" x14ac:dyDescent="0.3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2:31" x14ac:dyDescent="0.3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spans="2:31" x14ac:dyDescent="0.3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spans="2:31" x14ac:dyDescent="0.3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2:31" x14ac:dyDescent="0.3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spans="2:31" x14ac:dyDescent="0.3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spans="2:31" x14ac:dyDescent="0.3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spans="2:31" x14ac:dyDescent="0.3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spans="2:31" x14ac:dyDescent="0.3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spans="2:31" x14ac:dyDescent="0.3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spans="2:31" x14ac:dyDescent="0.3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2:31" x14ac:dyDescent="0.3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spans="2:31" x14ac:dyDescent="0.3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spans="2:31" x14ac:dyDescent="0.3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2:31" x14ac:dyDescent="0.3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spans="2:31" x14ac:dyDescent="0.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spans="2:31" x14ac:dyDescent="0.3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spans="2:31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2:31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2:31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2:31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spans="2:31" x14ac:dyDescent="0.3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spans="2:31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2:31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2:31" x14ac:dyDescent="0.3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2:31" x14ac:dyDescent="0.3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2:31" x14ac:dyDescent="0.3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2:31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2:31" x14ac:dyDescent="0.3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2:31" x14ac:dyDescent="0.3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2:31" x14ac:dyDescent="0.3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2:31" x14ac:dyDescent="0.3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2:31" x14ac:dyDescent="0.3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2:31" x14ac:dyDescent="0.3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2:31" x14ac:dyDescent="0.3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2:31" x14ac:dyDescent="0.3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2:31" x14ac:dyDescent="0.3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2:31" x14ac:dyDescent="0.3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2:31" x14ac:dyDescent="0.3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2:31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2:31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spans="2:31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2:31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2:31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2:31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2:31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2:31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spans="2:31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2:31" x14ac:dyDescent="0.3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Planilha1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Rhayssa Santos</cp:lastModifiedBy>
  <dcterms:created xsi:type="dcterms:W3CDTF">2024-12-19T13:13:10Z</dcterms:created>
  <dcterms:modified xsi:type="dcterms:W3CDTF">2026-01-14T16:12:01Z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